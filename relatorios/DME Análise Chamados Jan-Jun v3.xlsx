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C:\Users\Rafael\Desktop\SMART\Volumetria DME's\"/>
    </mc:Choice>
  </mc:AlternateContent>
  <xr:revisionPtr revIDLastSave="0" documentId="8_{0E389231-750C-4617-BF6C-8C3EFBE1A5C2}" xr6:coauthVersionLast="47" xr6:coauthVersionMax="47" xr10:uidLastSave="{00000000-0000-0000-0000-000000000000}"/>
  <bookViews>
    <workbookView xWindow="-108" yWindow="-108" windowWidth="23256" windowHeight="12456" firstSheet="1" activeTab="1" xr2:uid="{1CAC798D-CA0F-4329-86A1-0E76E1BB8C96}"/>
  </bookViews>
  <sheets>
    <sheet name="Métricas" sheetId="1" r:id="rId1"/>
    <sheet name="Geral" sheetId="12" r:id="rId2"/>
    <sheet name="Janeiro" sheetId="2" r:id="rId3"/>
    <sheet name="Fevereiro" sheetId="6" r:id="rId4"/>
    <sheet name="Março" sheetId="7" r:id="rId5"/>
    <sheet name="Abril" sheetId="8" r:id="rId6"/>
    <sheet name="Maio" sheetId="9" r:id="rId7"/>
    <sheet name="Junho" sheetId="11" r:id="rId8"/>
  </sheets>
  <definedNames>
    <definedName name="_xlnm._FilterDatabase" localSheetId="5" hidden="1">Abril!$A$1:$G$57</definedName>
    <definedName name="_xlnm._FilterDatabase" localSheetId="3" hidden="1">Fevereiro!$A$1:$G$47</definedName>
    <definedName name="_xlnm._FilterDatabase" localSheetId="1" hidden="1">Geral!$A$1:$G$254</definedName>
    <definedName name="_xlnm._FilterDatabase" localSheetId="2" hidden="1">Janeiro!$A$1:$G$24</definedName>
    <definedName name="_xlnm._FilterDatabase" localSheetId="7" hidden="1">Junho!$A$1:$G$41</definedName>
    <definedName name="_xlnm._FilterDatabase" localSheetId="6" hidden="1">Maio!$A$1:$G$44</definedName>
    <definedName name="_xlnm._FilterDatabase" localSheetId="4" hidden="1">Março!$A$1:$G$44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8" i="12" l="1"/>
  <c r="AE18" i="12" s="1"/>
  <c r="AA16" i="12"/>
  <c r="AE16" i="12" s="1"/>
  <c r="AA12" i="12"/>
  <c r="AE12" i="12" s="1"/>
  <c r="AA10" i="12"/>
  <c r="AA9" i="12"/>
  <c r="AE9" i="12" s="1"/>
  <c r="AA7" i="12"/>
  <c r="AE7" i="12" s="1"/>
  <c r="AA5" i="12"/>
  <c r="AE5" i="12" s="1"/>
  <c r="AA4" i="12"/>
  <c r="AA2" i="12"/>
  <c r="AE2" i="12" s="1"/>
  <c r="AA247" i="12"/>
  <c r="AA221" i="12"/>
  <c r="AA47" i="12"/>
  <c r="AE47" i="12" s="1"/>
  <c r="AA21" i="12"/>
  <c r="AE21" i="12" s="1"/>
  <c r="AA26" i="12"/>
  <c r="AA25" i="12"/>
  <c r="AE25" i="12" s="1"/>
  <c r="AA28" i="12"/>
  <c r="AE28" i="12" s="1"/>
  <c r="AA31" i="12"/>
  <c r="AE31" i="12" s="1"/>
  <c r="AA35" i="12"/>
  <c r="AE35" i="12" s="1"/>
  <c r="AA34" i="12"/>
  <c r="AE34" i="12" s="1"/>
  <c r="AA39" i="12"/>
  <c r="AA38" i="12"/>
  <c r="AE38" i="12" s="1"/>
  <c r="AA45" i="12"/>
  <c r="AE45" i="12" s="1"/>
  <c r="AA44" i="12"/>
  <c r="AA43" i="12"/>
  <c r="AA42" i="12"/>
  <c r="AA50" i="12"/>
  <c r="AE50" i="12" s="1"/>
  <c r="AA49" i="12"/>
  <c r="AA48" i="12"/>
  <c r="AA55" i="12"/>
  <c r="AE55" i="12" s="1"/>
  <c r="AA54" i="12"/>
  <c r="AA53" i="12"/>
  <c r="AA52" i="12"/>
  <c r="AA60" i="12"/>
  <c r="AA62" i="12"/>
  <c r="AA66" i="12"/>
  <c r="AA65" i="12"/>
  <c r="AA64" i="12"/>
  <c r="AA68" i="12"/>
  <c r="AA75" i="12"/>
  <c r="AA74" i="12"/>
  <c r="AA73" i="12"/>
  <c r="AA72" i="12"/>
  <c r="AE72" i="12" s="1"/>
  <c r="AA71" i="12"/>
  <c r="AA70" i="12"/>
  <c r="AE70" i="12" s="1"/>
  <c r="AA78" i="12"/>
  <c r="AA81" i="12"/>
  <c r="AA80" i="12"/>
  <c r="AA84" i="12"/>
  <c r="AA83" i="12"/>
  <c r="AE83" i="12" s="1"/>
  <c r="AA87" i="12"/>
  <c r="AA86" i="12"/>
  <c r="AA90" i="12"/>
  <c r="AA89" i="12"/>
  <c r="AA94" i="12"/>
  <c r="AE94" i="12" s="1"/>
  <c r="AA93" i="12"/>
  <c r="AA92" i="12"/>
  <c r="AA96" i="12"/>
  <c r="AA98" i="12"/>
  <c r="AA104" i="12"/>
  <c r="AE104" i="12" s="1"/>
  <c r="AA103" i="12"/>
  <c r="AA108" i="12"/>
  <c r="AA114" i="12"/>
  <c r="AA113" i="12"/>
  <c r="AA112" i="12"/>
  <c r="AA119" i="12"/>
  <c r="AE119" i="12" s="1"/>
  <c r="AA118" i="12"/>
  <c r="AE118" i="12" s="1"/>
  <c r="AA117" i="12"/>
  <c r="AA116" i="12"/>
  <c r="AE116" i="12" s="1"/>
  <c r="AA123" i="12"/>
  <c r="AA130" i="12"/>
  <c r="AA129" i="12"/>
  <c r="AE129" i="12" s="1"/>
  <c r="AA135" i="12"/>
  <c r="AE135" i="12" s="1"/>
  <c r="AA134" i="12"/>
  <c r="AA137" i="12"/>
  <c r="AA148" i="12"/>
  <c r="AA150" i="12"/>
  <c r="AE150" i="12" s="1"/>
  <c r="AA152" i="12"/>
  <c r="AA157" i="12"/>
  <c r="AA162" i="12"/>
  <c r="AE162" i="12" s="1"/>
  <c r="AA164" i="12"/>
  <c r="AA169" i="12"/>
  <c r="AA173" i="12"/>
  <c r="AA172" i="12"/>
  <c r="AA176" i="12"/>
  <c r="AE176" i="12" s="1"/>
  <c r="AA175" i="12"/>
  <c r="AE175" i="12" s="1"/>
  <c r="AA181" i="12"/>
  <c r="AE181" i="12" s="1"/>
  <c r="AA180" i="12"/>
  <c r="AE180" i="12" s="1"/>
  <c r="AA183" i="12"/>
  <c r="AA191" i="12"/>
  <c r="AE191" i="12" s="1"/>
  <c r="AA193" i="12"/>
  <c r="AA198" i="12"/>
  <c r="AE198" i="12" s="1"/>
  <c r="AA201" i="12"/>
  <c r="AE201" i="12" s="1"/>
  <c r="AA200" i="12"/>
  <c r="AA207" i="12"/>
  <c r="AA206" i="12"/>
  <c r="AE206" i="12" s="1"/>
  <c r="AA205" i="12"/>
  <c r="AA214" i="12"/>
  <c r="AA216" i="12"/>
  <c r="AA224" i="12"/>
  <c r="AE224" i="12" s="1"/>
  <c r="AA223" i="12"/>
  <c r="AE223" i="12" s="1"/>
  <c r="AA222" i="12"/>
  <c r="AA227" i="12"/>
  <c r="AA235" i="12"/>
  <c r="AE235" i="12" s="1"/>
  <c r="AA238" i="12"/>
  <c r="AE238" i="12" s="1"/>
  <c r="G4" i="1"/>
  <c r="F4" i="1"/>
  <c r="E4" i="1"/>
  <c r="D4" i="1"/>
  <c r="C4" i="1"/>
  <c r="B4" i="1"/>
  <c r="G3" i="1"/>
  <c r="F3" i="1"/>
  <c r="E3" i="1"/>
  <c r="D3" i="1"/>
  <c r="C3" i="1"/>
  <c r="B3" i="1"/>
  <c r="G2" i="1"/>
  <c r="F2" i="1"/>
  <c r="E2" i="1"/>
  <c r="D2" i="1"/>
  <c r="C2" i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tc={B6EA7E1F-1719-4C5F-9849-74082EE5867C}</author>
  </authors>
  <commentList>
    <comment ref="AA47" authorId="0" shapeId="0" xr:uid="{B6EA7E1F-1719-4C5F-9849-74082EE5867C}">
      <text>
        <t>[Threaded comment]
Your version of Excel allows you to read this threaded comment; however, any edits to it will get removed if the file is opened in a newer version of Excel. Learn more: https://go.microsoft.com/fwlink/?linkid=870924
Comment:
    48?</t>
      </text>
    </comment>
  </commentList>
</comments>
</file>

<file path=xl/sharedStrings.xml><?xml version="1.0" encoding="utf-8"?>
<sst xmlns="http://schemas.openxmlformats.org/spreadsheetml/2006/main" count="2177" uniqueCount="405">
  <si>
    <t>Jan</t>
  </si>
  <si>
    <t>Fev</t>
  </si>
  <si>
    <t>Mar</t>
  </si>
  <si>
    <t>Abr</t>
  </si>
  <si>
    <t>Mai</t>
  </si>
  <si>
    <t>Jun</t>
  </si>
  <si>
    <t>DME's Enviadas</t>
  </si>
  <si>
    <t>DME's Aprovadas</t>
  </si>
  <si>
    <t>Horas Aprovadas com Conversão</t>
  </si>
  <si>
    <t>Data DME</t>
  </si>
  <si>
    <t>ID</t>
  </si>
  <si>
    <t>Descrição</t>
  </si>
  <si>
    <t>Cliente</t>
  </si>
  <si>
    <t>Horas sem Conversão</t>
  </si>
  <si>
    <t>Horas com Conversão</t>
  </si>
  <si>
    <t>Descrição Aprovação/Cadastro</t>
  </si>
  <si>
    <t>SD</t>
  </si>
  <si>
    <t>FI</t>
  </si>
  <si>
    <t>MM</t>
  </si>
  <si>
    <t>ACM</t>
  </si>
  <si>
    <t>APP Grãos</t>
  </si>
  <si>
    <t>C4C</t>
  </si>
  <si>
    <t>Fomento</t>
  </si>
  <si>
    <t>GNF</t>
  </si>
  <si>
    <t>CO</t>
  </si>
  <si>
    <t>TM</t>
  </si>
  <si>
    <t>CRM</t>
  </si>
  <si>
    <t>PP</t>
  </si>
  <si>
    <t>Funcional Geral</t>
  </si>
  <si>
    <t>ABAP</t>
  </si>
  <si>
    <t>FIORI</t>
  </si>
  <si>
    <t>PI</t>
  </si>
  <si>
    <t>WEB</t>
  </si>
  <si>
    <t>BASIS</t>
  </si>
  <si>
    <t>DevC4C</t>
  </si>
  <si>
    <t>Total horas DME</t>
  </si>
  <si>
    <t>Conv. baseline horas</t>
  </si>
  <si>
    <t>Conv. baseline tickets</t>
  </si>
  <si>
    <t>Valor</t>
  </si>
  <si>
    <t>Analisar</t>
  </si>
  <si>
    <t>Forma de Pagamento no XML da NFe</t>
  </si>
  <si>
    <t>C.VALE - COOPERATIVA AGROINDUSTRIAL S/A.</t>
  </si>
  <si>
    <t>orçamentação aprovada por Guilherme Trentini /aprovação gerencial.NMS</t>
  </si>
  <si>
    <t>Parâmetro de Data e Hora Gestão de Pátio</t>
  </si>
  <si>
    <t>-</t>
  </si>
  <si>
    <t>PDV - Compensação automática FI</t>
  </si>
  <si>
    <t>COPLACANA</t>
  </si>
  <si>
    <t>Orçamentação aprovada extracontrato por  LARISSA ANDRADE. PAXB</t>
  </si>
  <si>
    <t>1033793 - Pagamento Juvenil tilápia abat</t>
  </si>
  <si>
    <t>orçamentação aprovada por Thiago Scapin.NMS</t>
  </si>
  <si>
    <t>1021923_Novo tipo de contrato</t>
  </si>
  <si>
    <t>automatização ID Royalties BAYER</t>
  </si>
  <si>
    <t>Orçamentação aprovada EXTRA-CONTRATO por Bianca Ferraz de Camargo Rabatshi .NMS</t>
  </si>
  <si>
    <t xml:space="preserve"> 110371 Criar LT Grupo de autorização</t>
  </si>
  <si>
    <t>FGM PRODUTOS ODONTOLOGICOS LTDA</t>
  </si>
  <si>
    <t>C2510-0155 - Atualizar tabela TIPI</t>
  </si>
  <si>
    <t>ITAPOA TERMINAIS PORTUARIOS S/A</t>
  </si>
  <si>
    <t>Orçamentação aprovada por Rafael Fernandes.NMS</t>
  </si>
  <si>
    <t>ATO COOP. - 1224227415 calculo das sobra</t>
  </si>
  <si>
    <t>Orçamentação aprovada por Marco Malosso.</t>
  </si>
  <si>
    <t>133239 - CR02 - Inativação de CT</t>
  </si>
  <si>
    <t>ACM | CONTRA-NOTA LIPRE (2512020008)</t>
  </si>
  <si>
    <t>FAZENDÃO INDUSTRIA E COMERCIO DE PRODUTO S AGROPEC</t>
  </si>
  <si>
    <t>Orçamentação aprovada extracontrato por Fernanda Moura Gonçalvez.NMS</t>
  </si>
  <si>
    <t>1060905 - Controle de vencimento de apól</t>
  </si>
  <si>
    <t>C2511-0488 - estrutura balanço</t>
  </si>
  <si>
    <t>Contato Simplificado_StatusFichas.</t>
  </si>
  <si>
    <t>BRF S.A.</t>
  </si>
  <si>
    <t>PRB0074854-Looping_FichasdeVisitas.</t>
  </si>
  <si>
    <t>Orçamentação aprovada para desconto do Baseline por Matheus Fabricio via email. PAXB</t>
  </si>
  <si>
    <t>ACM| DUPLICIDADE CONTRATOS (2510310004)</t>
  </si>
  <si>
    <t>Rollout - Filial C060-U.G Quirinopolis</t>
  </si>
  <si>
    <t>Orçamentação aprovada ExtraContrato por Larissa Andrade.NMS</t>
  </si>
  <si>
    <t>Ativação nota sap 3067314</t>
  </si>
  <si>
    <t>NA-176046-Tabela de Alçada de Aprovação</t>
  </si>
  <si>
    <t>NOVA AGRI</t>
  </si>
  <si>
    <t>1063216-ZPP0167N reprocess PDA status F</t>
  </si>
  <si>
    <t>Orçamentação aprovada para desconto do Baseline por Tiago Scapin . PAXB</t>
  </si>
  <si>
    <t>Processo de unidades de medidas de clien</t>
  </si>
  <si>
    <t>MULTILOG S/A</t>
  </si>
  <si>
    <t>ACM|CRIÇÃO DE Z(TRANSGÊNIA) (2512090008)</t>
  </si>
  <si>
    <t>Melhoria na tela ZGNF001</t>
  </si>
  <si>
    <t>FI | CARTEIRA DE COBRANÇA (2512090013)</t>
  </si>
  <si>
    <t>Orçamentação aprovada para desconto do Baseline por Fernanda Moura Gonçalves. PAXB</t>
  </si>
  <si>
    <t>1034760_Configuração de novo material</t>
  </si>
  <si>
    <t>Orçamento aprovado para desconto do Baseline por ILTOMAR DE BORTOLI. PAXB</t>
  </si>
  <si>
    <t>Erro Email Solicitante</t>
  </si>
  <si>
    <t>1029606-Conf. Cont. de Cópia DIREITO FIS</t>
  </si>
  <si>
    <t>Orçamento aprovado para desconto do baseline por Guilherme Trentini. PAXB</t>
  </si>
  <si>
    <t>1000052 – Reconfiguração de Layout Comp.</t>
  </si>
  <si>
    <t>ACM | NOTAS DE TRANSFERÊNCIA(2512130001)</t>
  </si>
  <si>
    <t>1078731- Campos obrig. NFCOM MOD62</t>
  </si>
  <si>
    <t>Aplicar nota SAP</t>
  </si>
  <si>
    <t>#1333 - Preenchimento Texto Item Pgto</t>
  </si>
  <si>
    <t>COONAGRO</t>
  </si>
  <si>
    <t>Transação conferencia de propriedades SA</t>
  </si>
  <si>
    <t>Orçamentação aprovada para desconto do baseline por ILTOMAR DE BORTOLI. PAXB</t>
  </si>
  <si>
    <t xml:space="preserve"> /SPROAGRI/INACTGRD e o SOFTISE</t>
  </si>
  <si>
    <t>Orçamentação aprovada por ILTOMAR DE BORTOLI.NMS</t>
  </si>
  <si>
    <t>NA-177231- Impressão de DANF -8000066918</t>
  </si>
  <si>
    <t>SR-1059149 - Redução de IR até 5.000</t>
  </si>
  <si>
    <t>CH 245186 - SPROCSEM/0008 - AJUSTE FLAGS</t>
  </si>
  <si>
    <t>AGROPASTORIL JOTABASSO LTDA</t>
  </si>
  <si>
    <t>orçamento aprovado para execução por Ronimarcos Gonçalves Silva. PAXB</t>
  </si>
  <si>
    <t>GO-M-15 Tornar condição ZFPR obrigatória</t>
  </si>
  <si>
    <t>Sipal Ltda</t>
  </si>
  <si>
    <t>Orçamentação aprovada para desconto de tickets por Andreia Ceretta. PAXB</t>
  </si>
  <si>
    <t>#1112 Problem sobre as NFs erro vizualiz</t>
  </si>
  <si>
    <t>DUMP - SAP Consumo de memória</t>
  </si>
  <si>
    <t>GO-M-27 busca campos ZE e ZR na OV SD</t>
  </si>
  <si>
    <t>Orçamentação aprovada por Andreia Ceretta em 23.11.2026.NMS</t>
  </si>
  <si>
    <t>GO-M-25 Habilitar NF serviço ISS retido</t>
  </si>
  <si>
    <t>Orçamentação aprovada para desconto do baseline por Andreia Ceretta. PAXB</t>
  </si>
  <si>
    <t>1099455SPROLM Motivo pgto.complementar</t>
  </si>
  <si>
    <t>Orçamentação aprovada por ARY CECILIO GONSALVES JUNIOR.NMS</t>
  </si>
  <si>
    <t>1100736SPROLM Dados Gestão de Ciclos</t>
  </si>
  <si>
    <t>Orçamentação aprovada para realização por ARY CECILIO GONSALVES JUNIOR. PAXB</t>
  </si>
  <si>
    <t>PM | TRAVA DE UNIDADES (2601090010)</t>
  </si>
  <si>
    <t>1099473 - Opção de campo observação do c</t>
  </si>
  <si>
    <t>Orçamentação aprovada por MURILO HENRIQUE ZILS . PAXB</t>
  </si>
  <si>
    <t>GO-M-93 CRIAR PARÂMETROS PARA O DIFAL CO</t>
  </si>
  <si>
    <t>Orçamento aprovado para desconto do baseline por Andreia Ceretta. PAXB</t>
  </si>
  <si>
    <t>tic526513-Criar funç descarte LM01 C043</t>
  </si>
  <si>
    <t>Orçamento aprovado para desconto do baseline por Tiago Scapin. PAXB</t>
  </si>
  <si>
    <t>1088407 Incluir Número do GGN na NFe</t>
  </si>
  <si>
    <t>Orçamentação aprovada para realização por Tiago Scapin PAXB</t>
  </si>
  <si>
    <t>GO-M-55 Criação da OF deverá ter como um</t>
  </si>
  <si>
    <t>1108286SPROLM Melhorias Prod. Ovos</t>
  </si>
  <si>
    <t>Orçamento aprovado para realização por Tiago Scapin. PAXB</t>
  </si>
  <si>
    <t>ACM | CORRIGIR CÓDIGO CONTRA NOTA</t>
  </si>
  <si>
    <t>Orçamentação aprovada ExtraContrato por Fernanda Moura Gonçalves. NMS</t>
  </si>
  <si>
    <t>SR627703-Solução para cond de cálc frete</t>
  </si>
  <si>
    <t>Orçamento aprovado para desconto do baseline por Douglas Varella Martins. PAXB</t>
  </si>
  <si>
    <t>930233 - Lentidão transação BP</t>
  </si>
  <si>
    <t>orçamentação aprovada para realização por Guilherme Trentini. PAXB</t>
  </si>
  <si>
    <t>2026010269 - fatura não gera doc contabi</t>
  </si>
  <si>
    <t>BSBIOS INDUSTRIA RENOVAVEL</t>
  </si>
  <si>
    <t>[GLPI #0015115] BOLETO FASE NFE</t>
  </si>
  <si>
    <t>GIRASSOL AGRICOLA LTDA</t>
  </si>
  <si>
    <t>[GLPI #0015128] BLOQUEIO VENCIMENTO</t>
  </si>
  <si>
    <t>[GLPI #0015134] TRAVA DtFixPreço</t>
  </si>
  <si>
    <t>GO-M-21 Criar campo "Terminal de Descarg</t>
  </si>
  <si>
    <t>GO-M-19 Automatizar avanço de estoque em</t>
  </si>
  <si>
    <t>ajuste relatorio  Query</t>
  </si>
  <si>
    <t>LAVORO AGRO HOLDING S.A.</t>
  </si>
  <si>
    <t>Orçamentação aprovada para desconto do Baseilne por Patricia Cristina Los. PAXB</t>
  </si>
  <si>
    <t>GO-M-32 UTIL. OPCIONALIDADES ACM</t>
  </si>
  <si>
    <t>GO-M-31 Opcionalidades na ordem TM</t>
  </si>
  <si>
    <t>Orçamento aprovado para desconto do baseline por  Andreia Ceretta. PAXB</t>
  </si>
  <si>
    <t>GO-M-72 Retirar/bloquear o botão TS</t>
  </si>
  <si>
    <t>Orçamento aprovado extrcontrato por Andreia Ceretta. PAXB</t>
  </si>
  <si>
    <t>GO-M-28 Inclusão automática da CND NF</t>
  </si>
  <si>
    <t>Orçamentação aprovada para desconto do Baseline por  Andreia Ceretta. PAXB</t>
  </si>
  <si>
    <t>Criação de CDS SAP</t>
  </si>
  <si>
    <t>CAMPO RICO BRASIL COMERCIO DE FERTILIZAN TES S.A</t>
  </si>
  <si>
    <t>1078787 - Desc MDF-e Assegurado GMP+FSA</t>
  </si>
  <si>
    <t>Orçamentação aprovada para realização por Douglas Varella Martins. PAXB</t>
  </si>
  <si>
    <t>PP-Alteração qte OP planejada em massa</t>
  </si>
  <si>
    <t>NUTRIMENTAL</t>
  </si>
  <si>
    <t>1065578_Balança hidrostática renda+</t>
  </si>
  <si>
    <t>Orçamentação aprovada para realização por ILTOMAR DE BORTOLI. PAXB</t>
  </si>
  <si>
    <t>202, 203 - Alíquotas Configuração de IMP</t>
  </si>
  <si>
    <t>BRFertil Fertilizantes</t>
  </si>
  <si>
    <t>Orçamentação aprovada para desconto do baseline por Anderson Collin. Houve redução na conversão de 120,39 para 108 devido aprovação do csm da conta, validar com o Cussolin. PAXB</t>
  </si>
  <si>
    <t>CDS | RELATÓRIO DE ROMANEIO (2601270026)</t>
  </si>
  <si>
    <t>orçamentação aprovada para desconto do basleine por Fernanda Moura Gonçalves. PAXB</t>
  </si>
  <si>
    <t>GO-M-54 Limite de Crédito como Fixo</t>
  </si>
  <si>
    <t>Orçamento aprovado para desconto do baseline por Andreia Ceretta . PAXB</t>
  </si>
  <si>
    <t>GO-M-71 Restabelecimento do Limite de Cr</t>
  </si>
  <si>
    <t>Orçamentação aprovada para desconto do Bseline por Andreia Ceretta. PAXB</t>
  </si>
  <si>
    <t>ACM | MATERIAL SORGO (2601230006)</t>
  </si>
  <si>
    <t>Orçamentação apravada para desconto do Baseline por  Fernanda Moura Gonçalves. PAXB</t>
  </si>
  <si>
    <t>197 - Desenvolvimento de Fluxo de Aprova</t>
  </si>
  <si>
    <t>ACM | CONTRATO ZARD (2601230008)</t>
  </si>
  <si>
    <t>ACM | CONTRA-NOTA LIPRE (2601300015)</t>
  </si>
  <si>
    <t>Orçamento aprovado extracontrato por Fernanda Moura Gonçalves. PAXB</t>
  </si>
  <si>
    <t>PP-Alerta tipo de ordem incorreta</t>
  </si>
  <si>
    <t>1137177SPROLMAlteraçõesBoletim Sanitário</t>
  </si>
  <si>
    <t>Orçamentação aprovada para realização por Tiago Scapin. PAXB</t>
  </si>
  <si>
    <t>11368-Envio de Props ao ESG pacote</t>
  </si>
  <si>
    <t>Orçamento aprovado para desconto do baseline por ILTOMAR DE BORTOLI. PAXB</t>
  </si>
  <si>
    <t>Solicitação de relatório - 15380</t>
  </si>
  <si>
    <t>Contabilização dos Impostos</t>
  </si>
  <si>
    <t>MAHLE BEHR GERENC. TERMICO BRASIL LTDA</t>
  </si>
  <si>
    <t>Verificar conversão. Orçamento aprovado para desconto do Baseline por Wladimir Reginaldo. PAXB</t>
  </si>
  <si>
    <t>GNF | Interface de recebimento</t>
  </si>
  <si>
    <t>Orçamentação aprovada extra-contratpo por Henrique Antonio de Oliveira .NMS</t>
  </si>
  <si>
    <t>2026021191 - Implantação company code</t>
  </si>
  <si>
    <t>GO-M-94 AJUSTE NO PRODUTO</t>
  </si>
  <si>
    <t>1030378-Dados propriedades CONSRELAT</t>
  </si>
  <si>
    <t>Orçamento aprovado por ILTOMAR DE BORTOLI. PAXB</t>
  </si>
  <si>
    <t>1153270 - Adequar base do IR Integr. HCM</t>
  </si>
  <si>
    <t>SOBRA ESTOQUE CLORETO KCL 52 - CENTRO 10</t>
  </si>
  <si>
    <t>GO-M-99 Implementação de IVA para DIFAL</t>
  </si>
  <si>
    <t>Orçamento aprovado para desconto do Baseline por Andreia Ceretta. PAXB</t>
  </si>
  <si>
    <t>ID 249 - Excluir doc. do eDOC_Cockpit</t>
  </si>
  <si>
    <t>1153490 Regra de Cadastro de Propriedade</t>
  </si>
  <si>
    <t>Orçamento aprovado para realização por ILTOMAR DE BORTOLI. PAXB</t>
  </si>
  <si>
    <t>FI | COBRANÇA BANCO CAIXA (2507100014)</t>
  </si>
  <si>
    <t>Orçamentação aprovada por Fernanda Moura Gonçalvez para Faturamento Extracontrato referente da demanda 8000065180 – FI | Cobrança Banco Caixa (2507100014).NMS</t>
  </si>
  <si>
    <t>1161925 SPROLM Ajustes RAV despesca CPA</t>
  </si>
  <si>
    <t>Orçamentação aprovada para desconto do baseline por Tiago Scapin. PAXB</t>
  </si>
  <si>
    <t>Classificação Contábil ICMS Desonerado</t>
  </si>
  <si>
    <t>COSTA FOODS</t>
  </si>
  <si>
    <t>1160496 - ENTRADA SEMENTE CONVÊNIO 100</t>
  </si>
  <si>
    <t>1152424 - Inclusão de Dados no DRC</t>
  </si>
  <si>
    <t>1152503 - Possibilitar a Emissão do PDF</t>
  </si>
  <si>
    <t>Alterar Workflow de Aprovação</t>
  </si>
  <si>
    <t>Orçamento Parametrização contas a pagar</t>
  </si>
  <si>
    <t>Preparação ambiente CNPJ Alfanumérico</t>
  </si>
  <si>
    <t>Orçamento para bloqueio de saldo zerado</t>
  </si>
  <si>
    <t>GO-M-130 Otimização da Hierarquia de Ace</t>
  </si>
  <si>
    <t>Orçamento aprovado extracontrato por Andreia Ceretta. PAXB</t>
  </si>
  <si>
    <t>REQ-1159714 Romaneios não exibe CENTRO</t>
  </si>
  <si>
    <t>Orçamentação aprovada para desconto do Baseline por  ILTOMAR DE BORTOLI. PAXB</t>
  </si>
  <si>
    <t>139039 - Lançamento de Intercompany</t>
  </si>
  <si>
    <t>3-70023 Data de remessa no  Inbound</t>
  </si>
  <si>
    <t>FI |PAGAMENTO PIX F110 - BB (2602240001)</t>
  </si>
  <si>
    <t>tic1041098-VL32N não valida dt venc lote</t>
  </si>
  <si>
    <t>Aplicação nota SAP CNPJ ALFANUMERICO</t>
  </si>
  <si>
    <t>Status folha de Medição</t>
  </si>
  <si>
    <t>Integração de Materiais SAP x Agrosys</t>
  </si>
  <si>
    <t>1157775-SPROLM-compra de suínos terminad</t>
  </si>
  <si>
    <t>1174612 Replicar interface Pedido Transf</t>
  </si>
  <si>
    <t>FI - FINANCEIRO_MULTA_BRADESCO</t>
  </si>
  <si>
    <t>140323 - Melhoria no estoque de Manutenç</t>
  </si>
  <si>
    <t>GO-M-128 INCLUSÃO NOTAS FISCAIS ENTRADA</t>
  </si>
  <si>
    <t>Orçamento aprovada extracontrato por Andreia Ceretta. PAXB</t>
  </si>
  <si>
    <t>ACM - Compra de Sorgo</t>
  </si>
  <si>
    <t>COOPERCITRUS COOPERATIVA DE PRODUTORES</t>
  </si>
  <si>
    <t>Orçamento aprovado para desconto do Baseline por Leandro Henrique dos Santos. PAXB</t>
  </si>
  <si>
    <t>1175400 -  DRC Lançamento NF AVULSA</t>
  </si>
  <si>
    <t>Orçamentação aprovada para desconto do baseline por Guilherme Trentini. PAXB</t>
  </si>
  <si>
    <t>GO-M-135 CRIAÇÃO DE OV COM MAIS DE UMA L</t>
  </si>
  <si>
    <t>1160708 - Dados de seleção GROUNDMAN</t>
  </si>
  <si>
    <t>140080 - Grupo Família - SAP</t>
  </si>
  <si>
    <t>MM|ALÇADAS APROVAÇÕES Zmm011- 2603050008</t>
  </si>
  <si>
    <t>GNF | Inclusão de campos ZGNF104</t>
  </si>
  <si>
    <t>Orçamnto aprovado para desconto do baseline por Henrique Antonio de Oliveira. PAXB</t>
  </si>
  <si>
    <t>Aj. de proc. de atual.de pr. est avanço</t>
  </si>
  <si>
    <t>Relatório de Titulos pagos</t>
  </si>
  <si>
    <t>Fechamento Ordens de Produção</t>
  </si>
  <si>
    <t>MM| FLUXOS DE APROVAÇÕES (2603090008)</t>
  </si>
  <si>
    <t>Interface Integração - SAP x Auth0</t>
  </si>
  <si>
    <t>Contabilização de ativos intangiveis</t>
  </si>
  <si>
    <t>orçamentação aprovada por Mario Souza.NMS</t>
  </si>
  <si>
    <t>1189725 -SPROLM - Trava na pesquisa UPL</t>
  </si>
  <si>
    <t>Orçamento aprovado por Tiago Scapin. PAXB</t>
  </si>
  <si>
    <t>Integração de BP’s – Novos Campos</t>
  </si>
  <si>
    <t>Observações não aparecem na NF-e</t>
  </si>
  <si>
    <t>GO-M-33 Melhoria no Relatório de Posição</t>
  </si>
  <si>
    <t>NA-181422 - Criação de RC e PO ZAT sem a</t>
  </si>
  <si>
    <t>Orçamento aprovado para desconto do baseline por Alan Retzlaff . PAXB</t>
  </si>
  <si>
    <t>2025124014-Inclusão de campo ZACM-MONST2</t>
  </si>
  <si>
    <t>orçamentação aprovadas por Alice  Susane Streb .NMS</t>
  </si>
  <si>
    <t>NA-178881 - CDS - CTE versus NFe</t>
  </si>
  <si>
    <t>GO-M-37 - Inclusão de campo para detalha</t>
  </si>
  <si>
    <t>Orçamento aprovado para realização por Andreia Ceretta. PAXB</t>
  </si>
  <si>
    <t>NA-179893 - ACM Gestão de Pagamentos – R</t>
  </si>
  <si>
    <t>NA-179266 - IT enviroment equalization</t>
  </si>
  <si>
    <t>NA-180134 - Monitor Contingência Convêni</t>
  </si>
  <si>
    <t>3-70371 Retenção de Funrural e Senar</t>
  </si>
  <si>
    <t>2025084665-Criação de novos contratos</t>
  </si>
  <si>
    <t>Necessidade de Bloqueio de Alterações</t>
  </si>
  <si>
    <t>Ticket 43349 Inclusão novo banco pagador</t>
  </si>
  <si>
    <t>IMCOPA INDUSTRIA DE OLEOS S.A.</t>
  </si>
  <si>
    <t>Trava transmissão nota fiscal</t>
  </si>
  <si>
    <t>1141313 - Enviar a Placa do caminhão no</t>
  </si>
  <si>
    <t>Ajuste na visualização do PDF</t>
  </si>
  <si>
    <t>1196404_Certificado RTRS</t>
  </si>
  <si>
    <t>tic1090304-Ñ contabilizar transf pric 0%</t>
  </si>
  <si>
    <t>Retorno Intercompany</t>
  </si>
  <si>
    <t>NOVOZYMES LATIN AMERICA LTDA.</t>
  </si>
  <si>
    <t>Orçamentação aprovada por MARIA EUGENIA PRADA SOLANO.NMS</t>
  </si>
  <si>
    <t>Criar Variantes de Regras IVA</t>
  </si>
  <si>
    <t>558065 Alterar tipo movimento mercadoria</t>
  </si>
  <si>
    <t>Orçamento aprovado para desconto do baseline por  Tiago Scapin. PAXB</t>
  </si>
  <si>
    <t>FI | VENCIMENTO DE BOLETOS (2603240023)</t>
  </si>
  <si>
    <t>NA-163772 CORREÇÃO DE CFOP NFE E CTE</t>
  </si>
  <si>
    <t>1213470 Integ. Beneficiamento caract. ob</t>
  </si>
  <si>
    <t>ZGNF | Correção de Filtros ZGNF104</t>
  </si>
  <si>
    <t>GO-M-154 Aprimoramento da Sincronização</t>
  </si>
  <si>
    <t>Orçamentação aprovada por Andreia Ceretta . NMS</t>
  </si>
  <si>
    <t>CH 254430 - Termo de amostragem</t>
  </si>
  <si>
    <t>Defeito remessa CISP</t>
  </si>
  <si>
    <t>1009929-Melhorias Visita Botão Adicional</t>
  </si>
  <si>
    <t>2026036844 NFE PY - dados obrigatórios</t>
  </si>
  <si>
    <t>Nota exportação enviando CST 51</t>
  </si>
  <si>
    <t>Orçamentação aprovada por  Jaqueline Oliveira Lino  para desonto do baseline</t>
  </si>
  <si>
    <t>AA-35652 aplicativo ME5A</t>
  </si>
  <si>
    <t>Ticket 43483 - ALOCAÇÃO LOTE COM QUANT 0</t>
  </si>
  <si>
    <t>Orçamento aprovado para realização por Bruno Rodrigues Perondi. PAXB</t>
  </si>
  <si>
    <t>895365-Melhoria SPROAGRI GROUNDMAN</t>
  </si>
  <si>
    <t>143192 - Campo fatura PDF da NFE</t>
  </si>
  <si>
    <t>Monitor de Boletos - Inclusão de coluna</t>
  </si>
  <si>
    <t>SD-Novas alíquotas PIS/COFINS</t>
  </si>
  <si>
    <t>CH 255256 - SPROLIMS - App de tetrazólio</t>
  </si>
  <si>
    <t>Orçamento aprovado para realização por Ronimarcos Gonçalves Silva. PAXB</t>
  </si>
  <si>
    <t>NA-166312 - Configuração Fundo CEG</t>
  </si>
  <si>
    <t>Venda para não contribuinte de ICMS para</t>
  </si>
  <si>
    <t>1229580 SPROLM Ajuste de RAV</t>
  </si>
  <si>
    <t>Orçamento aprovado para desconto do Baseline por Tiago Scapin. PAXB</t>
  </si>
  <si>
    <t>773712 - Restrição na modificação campos</t>
  </si>
  <si>
    <t>Orçamento aprovado para desconto do baseline por  Guilherme Trentini. PAXB</t>
  </si>
  <si>
    <t>NA-167911 - ICMS Interestadual (Operação</t>
  </si>
  <si>
    <t>Ticket 43550 - Ajuste XML LC-Ven d Casca</t>
  </si>
  <si>
    <t>Orçamentação aprovada por  Bruno Rodrigues Perondi  em 30.04.2026.NMS</t>
  </si>
  <si>
    <t>1203437 -Frete no centro de custo errado</t>
  </si>
  <si>
    <t>NA-183321 Revisão Cadastro Materiais</t>
  </si>
  <si>
    <t>1221341- Transferência de carteira PJ</t>
  </si>
  <si>
    <t>1232149_Acerto em rascunho RL</t>
  </si>
  <si>
    <t>Atribuição da função do parceiro YR</t>
  </si>
  <si>
    <t xml:space="preserve"> Habilitar campo TIPI</t>
  </si>
  <si>
    <t>Orçamento aprovado para desconto do Baseline por Henrique Antonio de Oliveira. PAXB</t>
  </si>
  <si>
    <t>AA-35862 Marcação automatica de flag</t>
  </si>
  <si>
    <t>Criação de Job Compensação</t>
  </si>
  <si>
    <t>orçamento aprovado para desconto do baseline por ILTOMAR DE BORTOLI . PAXB</t>
  </si>
  <si>
    <t>Criar tipos de impostos para operação de</t>
  </si>
  <si>
    <t>GO-M-155 - Incluir o campo GLO_REF1 no a</t>
  </si>
  <si>
    <t>FI - 2026032234 - Arq pagto estrangeiro</t>
  </si>
  <si>
    <t>1126143-PIS E COFINS NF65 SOFTISE CASA D</t>
  </si>
  <si>
    <t>NA-174952 - Configuração Fundo FET</t>
  </si>
  <si>
    <t>Diferença 0,01 entre o DRC e o XML Fornc</t>
  </si>
  <si>
    <t>INC-1237132 - Correção Impressão DACTe E</t>
  </si>
  <si>
    <t>1209953-Lentidão Transferências</t>
  </si>
  <si>
    <t>Orçamento aprovado para realização por Guilherme Trentini. PAXB</t>
  </si>
  <si>
    <t>Ticket 42582 -Atualizar Layout 019 SAP</t>
  </si>
  <si>
    <t>1240456 Adicionar informação em NFe</t>
  </si>
  <si>
    <t>SD-Ñ confirmar divisão remessa na VA01</t>
  </si>
  <si>
    <t>NA-174908 - Aprov. Sist (Plan. Ct-e TM)</t>
  </si>
  <si>
    <t>AA-35475 Erro em Contrato</t>
  </si>
  <si>
    <t>2026016446-Criação de Novo Tipo de Venda</t>
  </si>
  <si>
    <t>120738- Processo de conglomerados</t>
  </si>
  <si>
    <t>orçamentação aprovada por ILTOMAR DE BORTOLI  em 15..05.2026. .NMS</t>
  </si>
  <si>
    <t>NA-180207 - Segregação de Acesso e Criaç</t>
  </si>
  <si>
    <t>Remessas Transp. Diferentes</t>
  </si>
  <si>
    <t>Orçamento aprovado para desconto do baseline por Oswaldo Del Negro Jr. PAXB</t>
  </si>
  <si>
    <t>PRB0076154-Melhoria_V_SIMPLIFIED_C_BI</t>
  </si>
  <si>
    <t>Orçamentação aprovada para realização por Matheus Lowen . PAXB</t>
  </si>
  <si>
    <t>NA-183320 - Saneamento de Materiais</t>
  </si>
  <si>
    <t>Cenário de NFS</t>
  </si>
  <si>
    <t>SEVES ELECTRO VIDRO S.A.</t>
  </si>
  <si>
    <t>Recalcular DIFAL quando ICMS p = ICM0</t>
  </si>
  <si>
    <t>1253836-Cancelamento Aut. de Visita</t>
  </si>
  <si>
    <t>Orçamento aprovado por Yenifer Pamela Ojeda Duarte. PAXB</t>
  </si>
  <si>
    <t>1241708-Planejamento de insumos conglome</t>
  </si>
  <si>
    <t>Orçamentação aprovada pro Iltomar de Bortoli.NMS</t>
  </si>
  <si>
    <t>#1004 Industrialização em terceiros</t>
  </si>
  <si>
    <t>Orçamentação aprovada Extracontrato por Gustavo Soares Gomes.NMS</t>
  </si>
  <si>
    <t>CH 260109 SPROCSEM/0008-Flag Prod/Reemb</t>
  </si>
  <si>
    <t>(tag: idCSRT) e Hash do CSRT (tag: hashC</t>
  </si>
  <si>
    <t>SD-Nova categoria de item YPR2</t>
  </si>
  <si>
    <t>Adequação Cadastro TAGs Gestão de Pátio</t>
  </si>
  <si>
    <t>Captura de Peso Automação</t>
  </si>
  <si>
    <t>ACM|PROCESSO DÓLAR/PTAX (2604240008)</t>
  </si>
  <si>
    <t>Falha na visualização de saldo pela tran</t>
  </si>
  <si>
    <t>TOTAL LINHAS AEREAS S.A.</t>
  </si>
  <si>
    <t>Orçamentação aprovada por Alexandre Zerboni.NMS</t>
  </si>
  <si>
    <t>114.46</t>
  </si>
  <si>
    <t>8000070969, [GO-14957] FL 1025 // DESBLO</t>
  </si>
  <si>
    <t>1262096 Notas s/ref. de chave de acesso</t>
  </si>
  <si>
    <t>Leitura do preço de transferência-Armaz.</t>
  </si>
  <si>
    <t>Bloqueio de mov. por Grupo merc.ext.</t>
  </si>
  <si>
    <t>Determinação setor industrial - parceiro</t>
  </si>
  <si>
    <t>1260701_Novo campo texto TS</t>
  </si>
  <si>
    <t>1257656 SPROLM Insumos para app UPL</t>
  </si>
  <si>
    <t>Orçamentação aprovada por ARY CECILIO GONSALVES JUNIOR em 07.05.2026.NMS</t>
  </si>
  <si>
    <t>AA-37367 Ajuste na contabilização frete</t>
  </si>
  <si>
    <t>Orçamentaação aprovada por  Isllas Maximo Rezende Curty em 19.05.2026.NMS</t>
  </si>
  <si>
    <t>2026016446-Criação de novos tp de vendas</t>
  </si>
  <si>
    <t>Orçamentação aprovada por Alice Susane Streb em 30.05.2026.NMS</t>
  </si>
  <si>
    <t>Ref. trib. - SD - Intercompany invoices</t>
  </si>
  <si>
    <t>Orçamentação aprovada por Fabiano Chul Santana.NMS</t>
  </si>
  <si>
    <t>553806 - Reneg. Débitos Termo de Novação</t>
  </si>
  <si>
    <t>1164028 - Miro calculando ICMS em operaç</t>
  </si>
  <si>
    <t>1280566SPROLM Envio rações diferentes</t>
  </si>
  <si>
    <t>Orçamentação aprovadas por ARY CECILIO GONSALVES JUNIOR  (Gestão de TI).NMS</t>
  </si>
  <si>
    <t>REPROVAÇÃO NO CAMPO</t>
  </si>
  <si>
    <t>SD | ZS4TAX_NFE_PRINT_DANFE (2605060010)</t>
  </si>
  <si>
    <t>FI|APROVAÇÕES ADT, F-47,FB60(2605070011)</t>
  </si>
  <si>
    <t>Ticket 43797 - Relatorio ZMM011N2 campos</t>
  </si>
  <si>
    <t>SSA-#266528 Segregaçãode Custos de Frete</t>
  </si>
  <si>
    <t>São Salvador Alimentos</t>
  </si>
  <si>
    <t>GNF | Validação de status de NF remessa</t>
  </si>
  <si>
    <t>Melhoria no app - zrsd_log_rem_ag_alv</t>
  </si>
  <si>
    <t>550725- Diferença impostos casca de soja</t>
  </si>
  <si>
    <t>Orçamentação aprovada por Guilherme Trentini.NMS</t>
  </si>
  <si>
    <t>AA-36350 Contabilização Taxas de Boletos</t>
  </si>
  <si>
    <t>MM | MIGO E MIRO (2604150015)</t>
  </si>
  <si>
    <t>1285638SPROLMRevisar validações Peixes</t>
  </si>
  <si>
    <t>Orçamentação aprovada por Tiago Scapin.NMS</t>
  </si>
  <si>
    <t>AA-38082 alteração na regra compen. aut.</t>
  </si>
  <si>
    <t>8000070427 – Remessas bancárias não regi</t>
  </si>
  <si>
    <t>8000071664 – Remessas de cancelamento de</t>
  </si>
  <si>
    <t>Eliminar a TAG PHEDBC</t>
  </si>
  <si>
    <t>NA-182097 - CDS - Nota Fiscal apropriada</t>
  </si>
  <si>
    <t>NA-183829 - Trade Slip - Adição de Inf.</t>
  </si>
  <si>
    <t>NA-182978 - Depreciação Z1</t>
  </si>
  <si>
    <t>146814 - Template para ordens PM</t>
  </si>
  <si>
    <t>Ajustar NF vendas sementes</t>
  </si>
  <si>
    <t>Orçamentação aprovada por Iltomar de Bortoli.NMS</t>
  </si>
  <si>
    <t>SD| Lei Complementar nº 224 (2604160004)</t>
  </si>
  <si>
    <t>NA-185575 - PnL Logística - CDS - Rateio</t>
  </si>
  <si>
    <t>XPED | INFORMAÇÃO XML (2603110005)</t>
  </si>
  <si>
    <t>NA-174916 - Survey interior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</si>
</sst>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104861"/>
      <name val="Aptos Narrow"/>
      <family val="2"/>
    </font>
    <font>
      <sz val="11"/>
      <color rgb="FF104861"/>
      <name val="Aptos Narrow"/>
      <family val="2"/>
    </font>
    <font>
      <b/>
      <sz val="11"/>
      <color rgb="FF104861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" fontId="0" fillId="0" borderId="0" xfId="0" applyNumberFormat="1"/>
    <xf numFmtId="2" fontId="3" fillId="2" borderId="0" xfId="0" applyNumberFormat="1" applyFont="1" applyFill="1" applyAlignment="1">
      <alignment horizontal="right"/>
    </xf>
    <xf numFmtId="2" fontId="3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4" fontId="3" fillId="2" borderId="0" xfId="0" applyNumberFormat="1" applyFont="1" applyFill="1" applyAlignment="1">
      <alignment horizontal="right"/>
    </xf>
    <xf numFmtId="4" fontId="3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2" fontId="2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left" wrapText="1"/>
    </xf>
    <xf numFmtId="4" fontId="2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left" wrapText="1"/>
    </xf>
    <xf numFmtId="2" fontId="0" fillId="0" borderId="0" xfId="0" applyNumberFormat="1" applyAlignment="1">
      <alignment horizontal="left" wrapText="1"/>
    </xf>
    <xf numFmtId="2" fontId="4" fillId="0" borderId="0" xfId="0" applyNumberFormat="1" applyFont="1" applyAlignment="1">
      <alignment horizontal="left" wrapText="1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" fontId="3" fillId="2" borderId="0" xfId="0" applyNumberFormat="1" applyFont="1" applyFill="1" applyAlignment="1">
      <alignment horizontal="center"/>
    </xf>
  </cellXfs>
  <cellStyles count="1">
    <cellStyle name="Normal" xfId="0" builtinId="0"/>
  </cellStyles>
  <dxfs count="8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Análise DME's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Métricas!$A$2</c:f>
              <c:strCache>
                <c:ptCount val="1"/>
                <c:pt idx="0">
                  <c:v>DME's Enviadas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Métricas!$B$1:$G$1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Métricas!$B$2:$G$2</c:f>
              <c:numCache>
                <c:formatCode>General</c:formatCode>
                <c:ptCount val="6"/>
                <c:pt idx="0">
                  <c:v>23</c:v>
                </c:pt>
                <c:pt idx="1">
                  <c:v>46</c:v>
                </c:pt>
                <c:pt idx="2">
                  <c:v>43</c:v>
                </c:pt>
                <c:pt idx="3">
                  <c:v>56</c:v>
                </c:pt>
                <c:pt idx="4">
                  <c:v>43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8-4B45-B628-A69620027BDC}"/>
            </c:ext>
          </c:extLst>
        </c:ser>
        <c:ser>
          <c:idx val="1"/>
          <c:order val="1"/>
          <c:tx>
            <c:strRef>
              <c:f>Métricas!$A$3</c:f>
              <c:strCache>
                <c:ptCount val="1"/>
                <c:pt idx="0">
                  <c:v>DME's Aprovadas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Métricas!$B$1:$G$1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Métricas!$B$3:$G$3</c:f>
              <c:numCache>
                <c:formatCode>General</c:formatCode>
                <c:ptCount val="6"/>
                <c:pt idx="0">
                  <c:v>9</c:v>
                </c:pt>
                <c:pt idx="1">
                  <c:v>28</c:v>
                </c:pt>
                <c:pt idx="2">
                  <c:v>26</c:v>
                </c:pt>
                <c:pt idx="3">
                  <c:v>19</c:v>
                </c:pt>
                <c:pt idx="4">
                  <c:v>16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F8-4B45-B628-A69620027BD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131920751"/>
        <c:axId val="2131919791"/>
      </c:barChart>
      <c:catAx>
        <c:axId val="2131920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1919791"/>
        <c:crosses val="autoZero"/>
        <c:auto val="1"/>
        <c:lblAlgn val="ctr"/>
        <c:lblOffset val="100"/>
        <c:noMultiLvlLbl val="0"/>
      </c:catAx>
      <c:valAx>
        <c:axId val="213191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19207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Métricas!$A$4</c:f>
              <c:strCache>
                <c:ptCount val="1"/>
                <c:pt idx="0">
                  <c:v>Horas Aprovadas com Conversão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Métricas!$B$1:$G$1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Métricas!$B$4:$G$4</c:f>
              <c:numCache>
                <c:formatCode>General</c:formatCode>
                <c:ptCount val="6"/>
                <c:pt idx="0">
                  <c:v>895.13</c:v>
                </c:pt>
                <c:pt idx="1">
                  <c:v>2924.07</c:v>
                </c:pt>
                <c:pt idx="2">
                  <c:v>2305.5200000000004</c:v>
                </c:pt>
                <c:pt idx="3">
                  <c:v>1324.48</c:v>
                </c:pt>
                <c:pt idx="4">
                  <c:v>1006.99</c:v>
                </c:pt>
                <c:pt idx="5">
                  <c:v>333.77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B1-4B27-81F6-7F7E35EE74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131917391"/>
        <c:axId val="2131918831"/>
      </c:barChart>
      <c:catAx>
        <c:axId val="213191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1918831"/>
        <c:crosses val="autoZero"/>
        <c:auto val="1"/>
        <c:lblAlgn val="ctr"/>
        <c:lblOffset val="100"/>
        <c:noMultiLvlLbl val="0"/>
      </c:catAx>
      <c:valAx>
        <c:axId val="213191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1917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60960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BA449E-014C-E73A-B879-BE33108CF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7620</xdr:colOff>
      <xdr:row>0</xdr:row>
      <xdr:rowOff>0</xdr:rowOff>
    </xdr:from>
    <xdr:to>
      <xdr:col>18</xdr:col>
      <xdr:colOff>312420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BFA5F5-D5FC-1C23-99F2-39F5265EAB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ichard de Oliveira Kanheski" id="{ECF5AC9A-D73A-467B-83D2-1D0982A9E95B}" userId="S::richard.kanheski_spro.com.br#ext#@vexpro.onmicrosoft.com::a9f13c0c-a31a-4194-8d9e-1168af856806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519AE07-2A0D-425B-B038-38EA67135783}" name="Table8" displayName="Table8" ref="A1:AE254" totalsRowShown="0" dataDxfId="79">
  <autoFilter ref="A1:AE254" xr:uid="{C6F27B10-C0FC-40C2-86D0-577348E9DC2D}">
    <filterColumn colId="4">
      <filters>
        <filter val="100"/>
        <filter val="102"/>
        <filter val="104"/>
        <filter val="108"/>
        <filter val="109"/>
        <filter val="116"/>
        <filter val="118"/>
        <filter val="119"/>
        <filter val="122"/>
        <filter val="124"/>
        <filter val="128"/>
        <filter val="130"/>
        <filter val="136"/>
        <filter val="139"/>
        <filter val="140"/>
        <filter val="148"/>
        <filter val="152"/>
        <filter val="156"/>
        <filter val="160"/>
        <filter val="160,06"/>
        <filter val="165"/>
        <filter val="17"/>
        <filter val="182"/>
        <filter val="188"/>
        <filter val="21"/>
        <filter val="218"/>
        <filter val="22"/>
        <filter val="224"/>
        <filter val="25,17"/>
        <filter val="27"/>
        <filter val="28"/>
        <filter val="30"/>
        <filter val="31"/>
        <filter val="32"/>
        <filter val="33"/>
        <filter val="36"/>
        <filter val="38"/>
        <filter val="39"/>
        <filter val="41"/>
        <filter val="42"/>
        <filter val="43"/>
        <filter val="44"/>
        <filter val="46"/>
        <filter val="48"/>
        <filter val="49"/>
        <filter val="50"/>
        <filter val="50,54"/>
        <filter val="52"/>
        <filter val="53,05"/>
        <filter val="53,4"/>
        <filter val="54"/>
        <filter val="56"/>
        <filter val="57"/>
        <filter val="58"/>
        <filter val="59"/>
        <filter val="60"/>
        <filter val="62"/>
        <filter val="64"/>
        <filter val="66"/>
        <filter val="67"/>
        <filter val="68"/>
        <filter val="70"/>
        <filter val="72"/>
        <filter val="74"/>
        <filter val="76"/>
        <filter val="78"/>
        <filter val="82"/>
        <filter val="86"/>
        <filter val="90"/>
        <filter val="92"/>
        <filter val="93,5"/>
        <filter val="94"/>
        <filter val="96"/>
        <filter val="96,57"/>
      </filters>
    </filterColumn>
  </autoFilter>
  <tableColumns count="31">
    <tableColumn id="1" xr3:uid="{0FFF036D-CA78-4EAC-8D52-3E7F682B4AF4}" name="Data DME" dataDxfId="78"/>
    <tableColumn id="2" xr3:uid="{6297A5F9-0E23-4567-A3FF-C55FE1D07769}" name="ID" dataDxfId="77"/>
    <tableColumn id="3" xr3:uid="{7FB45908-6511-478F-881F-AA04B73A6BC8}" name="Descrição" dataDxfId="76"/>
    <tableColumn id="4" xr3:uid="{489CC221-088F-4337-9760-75F30F3DD1EC}" name="Cliente" dataDxfId="75"/>
    <tableColumn id="5" xr3:uid="{7348F68F-09BB-424B-B243-4CC273C6A191}" name="Horas sem Conversão" dataDxfId="74"/>
    <tableColumn id="6" xr3:uid="{016DF040-E3BF-4838-A15B-CB4686634192}" name="Horas com Conversão" dataDxfId="73"/>
    <tableColumn id="7" xr3:uid="{3B7B761C-71F0-4986-A76A-756422C65D12}" name="Descrição Aprovação/Cadastro" dataDxfId="72"/>
    <tableColumn id="8" xr3:uid="{ED91F92D-DB25-4E5A-A0D9-2685A23D31CF}" name="SD" dataDxfId="71"/>
    <tableColumn id="9" xr3:uid="{02D1EAC8-33D3-4310-8153-C6EF38868109}" name="FI" dataDxfId="70"/>
    <tableColumn id="10" xr3:uid="{938899CA-1FC3-46AE-B4A9-9637AF992820}" name="MM" dataDxfId="69"/>
    <tableColumn id="11" xr3:uid="{552658FE-83D2-471B-9A71-5C5E7D2ED1BF}" name="ACM" dataDxfId="68"/>
    <tableColumn id="19" xr3:uid="{0000F514-3ADD-433D-9C45-FE7E80F65487}" name="APP Grãos" dataDxfId="67"/>
    <tableColumn id="23" xr3:uid="{F8E5938D-0568-4FD7-83DE-F726D9861859}" name="C4C" dataDxfId="66"/>
    <tableColumn id="26" xr3:uid="{478A155E-3E8D-4AC4-8AEF-A4DBBA775D5A}" name="Fomento" dataDxfId="65"/>
    <tableColumn id="28" xr3:uid="{62C86851-5FD0-4952-AC12-E226E1E36006}" name="GNF" dataDxfId="64"/>
    <tableColumn id="21" xr3:uid="{EE61D6D7-3788-48B6-B323-612671372522}" name="CO" dataDxfId="63"/>
    <tableColumn id="24" xr3:uid="{06A97868-8A18-4D58-92CB-E6CB08505918}" name="TM" dataDxfId="62"/>
    <tableColumn id="29" xr3:uid="{723F1EAD-5E0C-4D14-B118-7C91B77BD2ED}" name="CRM" dataDxfId="61"/>
    <tableColumn id="30" xr3:uid="{3A22003C-3DB7-440A-9E06-9117B8DB977B}" name="PP" dataDxfId="60"/>
    <tableColumn id="12" xr3:uid="{1AAA833F-4645-4BC5-AF3B-A2921AFA601C}" name="Funcional Geral" dataDxfId="59"/>
    <tableColumn id="13" xr3:uid="{478E2999-6E28-4213-B784-E488494D1E1C}" name="ABAP" dataDxfId="58"/>
    <tableColumn id="20" xr3:uid="{FF0640A7-55E4-445A-B6A4-18015B7CF205}" name="FIORI" dataDxfId="57"/>
    <tableColumn id="14" xr3:uid="{874D84B8-57E8-49D0-A70B-CB4AF2ACEBB9}" name="PI" dataDxfId="56"/>
    <tableColumn id="18" xr3:uid="{9184FE79-E65C-418B-B0BE-953EAC7F4754}" name="WEB" dataDxfId="55"/>
    <tableColumn id="27" xr3:uid="{AB8D0F9D-A437-4598-A63F-A1366492300E}" name="BASIS" dataDxfId="54"/>
    <tableColumn id="25" xr3:uid="{B0E9791B-D5B9-412A-8843-39B982FED766}" name="DevC4C" dataDxfId="53"/>
    <tableColumn id="15" xr3:uid="{F5ECD981-B320-45FA-BD81-AAB21463A242}" name="Total horas DME" dataDxfId="52"/>
    <tableColumn id="16" xr3:uid="{1C8F0AD3-2852-4DBB-9F1A-D4FEADA39926}" name="Conv. baseline horas" dataDxfId="51"/>
    <tableColumn id="22" xr3:uid="{10BCBC03-6C15-4011-A79A-EC93A126DC23}" name="Conv. baseline tickets" dataDxfId="50"/>
    <tableColumn id="17" xr3:uid="{E58DDCE5-A22D-4ABB-8262-CB5D021C7F0E}" name="Valor" dataDxfId="49"/>
    <tableColumn id="31" xr3:uid="{A7C5B645-52F0-46E9-AD20-7D9577EDEA02}" name="Analisar" dataDxfId="48">
      <calculatedColumnFormula>Table8[[#This Row],[Total horas DME]]-Table8[[#This Row],[Horas sem Conversão]]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6883F34-3208-4A25-A299-56A4298483F4}" name="Table7" displayName="Table7" ref="A1:G24" totalsRowShown="0">
  <autoFilter ref="A1:G24" xr:uid="{ACDB3B46-5367-48B6-876E-C916ABC1B0D6}"/>
  <tableColumns count="7">
    <tableColumn id="1" xr3:uid="{11418E5A-B74B-4CE4-9919-75083CAC7518}" name="Data DME" dataDxfId="46"/>
    <tableColumn id="2" xr3:uid="{79413AAB-6C3A-4540-9488-9E4BD2BF403A}" name="ID" dataDxfId="45"/>
    <tableColumn id="3" xr3:uid="{C7CDEF95-677A-48C1-B71A-FDBDF05209A7}" name="Descrição" dataDxfId="44"/>
    <tableColumn id="4" xr3:uid="{BA0E4D1F-DEC9-45EF-B286-DFDA30306DF4}" name="Cliente" dataDxfId="43"/>
    <tableColumn id="5" xr3:uid="{45495A20-4F4E-4657-B8D9-5C6A1635D225}" name="Horas sem Conversão" dataDxfId="42"/>
    <tableColumn id="6" xr3:uid="{A4356D6D-524F-4198-B02A-0CEB1A0D4273}" name="Horas com Conversão" dataDxfId="41"/>
    <tableColumn id="7" xr3:uid="{B00922E0-E9C1-4893-915A-5A488B1CC615}" name="Descrição Aprovação/Cadastro"/>
  </tableColumns>
  <tableStyleInfo name="TableStyleLight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661CF55-A15E-48E2-9674-3ABEE6C386C8}" name="Table6" displayName="Table6" ref="A1:G47" totalsRowShown="0">
  <autoFilter ref="A1:G47" xr:uid="{B6F5DB3E-BD07-46F2-BA2A-31054739CCA8}"/>
  <tableColumns count="7">
    <tableColumn id="1" xr3:uid="{638B612A-1076-4426-B6D1-CB93BC86341C}" name="Data DME" dataDxfId="39"/>
    <tableColumn id="2" xr3:uid="{A5C59B31-6B44-4F5C-9F3A-2F2C309602BE}" name="ID" dataDxfId="38"/>
    <tableColumn id="3" xr3:uid="{C15CBCAF-C8C5-461B-B09A-4707A5BC4ABC}" name="Descrição" dataDxfId="37"/>
    <tableColumn id="4" xr3:uid="{73F967F4-DC9C-4C23-8EB8-96613318D1D9}" name="Cliente" dataDxfId="36"/>
    <tableColumn id="5" xr3:uid="{0134BC10-CF7E-4308-AA80-4549BA433D2E}" name="Horas sem Conversão" dataDxfId="35"/>
    <tableColumn id="6" xr3:uid="{3017928B-9C6C-44F7-AC1C-D7C3619B8899}" name="Horas com Conversão" dataDxfId="34"/>
    <tableColumn id="7" xr3:uid="{9867F604-7765-4A10-A19B-C846E345D6E2}" name="Descrição Aprovação/Cadastro"/>
  </tableColumns>
  <tableStyleInfo name="TableStyleLight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994F4D-4449-4204-8AA2-53DC003259EE}" name="Table5" displayName="Table5" ref="A1:G44" totalsRowShown="0">
  <autoFilter ref="A1:G44" xr:uid="{5A05CECF-4B1D-4F1F-99DB-0B885C7D1BAA}"/>
  <tableColumns count="7">
    <tableColumn id="1" xr3:uid="{9A65E2B5-7DBA-493C-9A52-D7CE728E8DB0}" name="Data DME" dataDxfId="32"/>
    <tableColumn id="2" xr3:uid="{D87212E4-1497-4CA5-8342-30E59D8EDC26}" name="ID" dataDxfId="31"/>
    <tableColumn id="3" xr3:uid="{AF63D28F-9E4A-43C2-86C5-0701D098D2EE}" name="Descrição" dataDxfId="30"/>
    <tableColumn id="4" xr3:uid="{C128CDA9-B54B-4E93-9799-76B9DF3B0710}" name="Cliente" dataDxfId="29"/>
    <tableColumn id="5" xr3:uid="{60E2C14B-D68F-4512-A9E6-6A2BF7F0C0D6}" name="Horas sem Conversão" dataDxfId="28"/>
    <tableColumn id="6" xr3:uid="{D9E9D440-D174-4531-9ABA-037C1AC70054}" name="Horas com Conversão" dataDxfId="27"/>
    <tableColumn id="7" xr3:uid="{A50D9747-535E-442F-8662-673B0F672987}" name="Descrição Aprovação/Cadastro"/>
  </tableColumns>
  <tableStyleInfo name="TableStyleLight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432BB3-71EE-4A41-BCF3-3806C539740E}" name="Table4" displayName="Table4" ref="A1:G57" totalsRowShown="0" dataDxfId="25">
  <autoFilter ref="A1:G57" xr:uid="{A51D1F66-E445-4F28-AB77-1E869D60E8E5}"/>
  <tableColumns count="7">
    <tableColumn id="1" xr3:uid="{E0BA03FA-36C1-4FC5-AD0C-89E404C41A19}" name="Data DME" dataDxfId="24"/>
    <tableColumn id="2" xr3:uid="{47BFC574-08BE-4482-99EB-989FD54A0B8F}" name="ID" dataDxfId="23"/>
    <tableColumn id="3" xr3:uid="{3F70E193-317E-4EA6-BC4D-2B0A5BA1781E}" name="Descrição" dataDxfId="22"/>
    <tableColumn id="4" xr3:uid="{21F2A512-A479-4C13-AF51-82D2A2A2B90C}" name="Cliente" dataDxfId="21"/>
    <tableColumn id="5" xr3:uid="{DD46A940-EFD1-4D81-8A67-565D4E853BE2}" name="Horas sem Conversão" dataDxfId="20"/>
    <tableColumn id="6" xr3:uid="{636884E7-7469-499F-8297-8456FC344C9D}" name="Horas com Conversão" dataDxfId="19"/>
    <tableColumn id="7" xr3:uid="{4B62F818-27C8-44A0-A630-8D85AE66206B}" name="Descrição Aprovação/Cadastro" dataDxfId="18"/>
  </tableColumns>
  <tableStyleInfo name="TableStyleLight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45FE5D-C004-4F7C-BFCC-8BAA3D6DB937}" name="Table3" displayName="Table3" ref="A1:G44" totalsRowShown="0" dataDxfId="16">
  <autoFilter ref="A1:G44" xr:uid="{4FAAE777-D512-476E-A047-A3C20A3E3495}"/>
  <tableColumns count="7">
    <tableColumn id="1" xr3:uid="{62ED0064-F31E-45AB-956A-315776654373}" name="Data DME" dataDxfId="15"/>
    <tableColumn id="2" xr3:uid="{222B2263-15F8-4410-97AA-FEA75F9BE381}" name="ID" dataDxfId="14"/>
    <tableColumn id="3" xr3:uid="{46A54E2A-142D-4B9F-B982-184FE7A75713}" name="Descrição" dataDxfId="13"/>
    <tableColumn id="4" xr3:uid="{E3E4CE2A-D557-4E1C-8036-EF83CAFB7F38}" name="Cliente" dataDxfId="12"/>
    <tableColumn id="5" xr3:uid="{92B13403-0F98-49EC-B3AE-E34BF585FD86}" name="Horas sem Conversão" dataDxfId="11"/>
    <tableColumn id="6" xr3:uid="{F82A64B8-74DD-4A70-8604-D0F600CCF165}" name="Horas com Conversão" dataDxfId="10"/>
    <tableColumn id="7" xr3:uid="{5E0A4D3B-7AB7-4244-A86E-1BD75AE7DC31}" name="Descrição Aprovação/Cadastro" dataDxfId="9"/>
  </tableColumns>
  <tableStyleInfo name="TableStyleLight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DD0AC5-C98F-42DF-82F6-9F258394CB84}" name="Table2" displayName="Table2" ref="A1:G41" totalsRowShown="0" dataDxfId="7">
  <autoFilter ref="A1:G41" xr:uid="{6705EEAD-189A-4EA1-9CE3-935303BF0041}"/>
  <tableColumns count="7">
    <tableColumn id="1" xr3:uid="{D82D3451-0177-4FBC-9CD3-0BB157641D5D}" name="Data DME" dataDxfId="6"/>
    <tableColumn id="2" xr3:uid="{6643F76F-E062-49B9-9759-0CB19ACE1810}" name="ID" dataDxfId="5"/>
    <tableColumn id="3" xr3:uid="{F03CE125-01E2-44A9-8FB1-CECE7CB332DC}" name="Descrição" dataDxfId="4"/>
    <tableColumn id="4" xr3:uid="{A52E6B59-4C4B-43E9-8C7B-40843FCC37D8}" name="Cliente" dataDxfId="3"/>
    <tableColumn id="5" xr3:uid="{848E5A93-AB18-4593-8B40-E7155BDC9E81}" name="Horas sem Conversão" dataDxfId="2"/>
    <tableColumn id="6" xr3:uid="{E1EFF190-A15A-4BC3-9EA4-D0FB93EFC86A}" name="Horas com Conversão" dataDxfId="1"/>
    <tableColumn id="7" xr3:uid="{621B52C6-1A34-41B8-93DF-3293114F8478}" name="Descrição Aprovação/Cadastro" dataDxfId="0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A47" dT="2026-06-12T14:31:22.66" personId="{ECF5AC9A-D73A-467B-83D2-1D0982A9E95B}" id="{B6EA7E1F-1719-4C5F-9849-74082EE5867C}">
    <text>48?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61704-CAC2-4AD8-8755-A08101C76016}">
  <dimension ref="A1:G4"/>
  <sheetViews>
    <sheetView workbookViewId="0">
      <selection activeCell="K25" sqref="K25"/>
    </sheetView>
  </sheetViews>
  <sheetFormatPr defaultRowHeight="14.45"/>
  <cols>
    <col min="1" max="1" width="27.85546875" bestFit="1" customWidth="1"/>
  </cols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 s="1">
        <f>COUNT(Table7[ID])</f>
        <v>23</v>
      </c>
      <c r="C2" s="1">
        <f>COUNT(Table6[ID])</f>
        <v>46</v>
      </c>
      <c r="D2" s="1">
        <f>COUNT(Table5[ID])</f>
        <v>43</v>
      </c>
      <c r="E2" s="1">
        <f>COUNT(Table4[ID])</f>
        <v>56</v>
      </c>
      <c r="F2" s="1">
        <f>COUNT(Table3[ID])</f>
        <v>43</v>
      </c>
      <c r="G2" s="1">
        <f>COUNT(Table2[ID])</f>
        <v>40</v>
      </c>
    </row>
    <row r="3" spans="1:7">
      <c r="A3" t="s">
        <v>7</v>
      </c>
      <c r="B3" s="1">
        <f>COUNTIF(Table7[Descrição Aprovação/Cadastro],"&lt;&gt;*-*")</f>
        <v>9</v>
      </c>
      <c r="C3" s="1">
        <f>COUNTIF(Table6[Descrição Aprovação/Cadastro],"&lt;&gt;*-*")</f>
        <v>28</v>
      </c>
      <c r="D3" s="1">
        <f>COUNTIF(Table5[Descrição Aprovação/Cadastro],"&lt;&gt;*-*")</f>
        <v>26</v>
      </c>
      <c r="E3" s="1">
        <f>COUNTIF(Table4[Descrição Aprovação/Cadastro],"&lt;&gt;*-*")</f>
        <v>19</v>
      </c>
      <c r="F3" s="1">
        <f>COUNTIF(Table3[Descrição Aprovação/Cadastro],"&lt;&gt;*-*")</f>
        <v>16</v>
      </c>
      <c r="G3" s="1">
        <f>COUNTIF(Table2[Descrição Aprovação/Cadastro],"&lt;&gt;*-*")</f>
        <v>4</v>
      </c>
    </row>
    <row r="4" spans="1:7">
      <c r="A4" t="s">
        <v>8</v>
      </c>
      <c r="B4" s="1">
        <f>SUM(Table7[Horas com Conversão])</f>
        <v>895.13</v>
      </c>
      <c r="C4" s="1">
        <f>SUM(Table6[Horas com Conversão])</f>
        <v>2924.07</v>
      </c>
      <c r="D4" s="1">
        <f>SUM(Table5[Horas com Conversão])</f>
        <v>2305.5200000000004</v>
      </c>
      <c r="E4" s="1">
        <f>SUM(Table4[Horas com Conversão])</f>
        <v>1324.48</v>
      </c>
      <c r="F4" s="1">
        <f>SUM(Table3[Horas com Conversão])</f>
        <v>1006.99</v>
      </c>
      <c r="G4" s="1">
        <f>SUM(Table2[Horas com Conversão])</f>
        <v>333.77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27B10-C0FC-40C2-86D0-577348E9DC2D}">
  <dimension ref="A1:AE254"/>
  <sheetViews>
    <sheetView tabSelected="1" workbookViewId="0">
      <pane xSplit="2" topLeftCell="C1" activePane="topRight" state="frozen"/>
      <selection pane="topRight" activeCell="C10" sqref="C10"/>
    </sheetView>
  </sheetViews>
  <sheetFormatPr defaultRowHeight="15" customHeight="1"/>
  <cols>
    <col min="1" max="1" width="11" bestFit="1" customWidth="1"/>
    <col min="2" max="2" width="11.7109375" bestFit="1" customWidth="1"/>
    <col min="3" max="3" width="34.5703125" style="3" customWidth="1"/>
    <col min="4" max="4" width="31.140625" customWidth="1"/>
    <col min="5" max="5" width="13.85546875" customWidth="1"/>
    <col min="6" max="6" width="11.85546875" customWidth="1"/>
    <col min="7" max="7" width="40.28515625" customWidth="1"/>
    <col min="8" max="9" width="5.7109375" style="7" bestFit="1" customWidth="1"/>
    <col min="10" max="10" width="6.28515625" style="7" bestFit="1" customWidth="1"/>
    <col min="11" max="11" width="7.28515625" style="7" bestFit="1" customWidth="1"/>
    <col min="12" max="12" width="12.28515625" style="7" bestFit="1" customWidth="1"/>
    <col min="13" max="13" width="6.140625" style="7" customWidth="1"/>
    <col min="14" max="14" width="11" style="7" bestFit="1" customWidth="1"/>
    <col min="15" max="15" width="7" style="7" bestFit="1" customWidth="1"/>
    <col min="16" max="19" width="7" style="7" customWidth="1"/>
    <col min="20" max="20" width="10.42578125" style="7" customWidth="1"/>
    <col min="21" max="21" width="7.85546875" style="7" bestFit="1" customWidth="1"/>
    <col min="22" max="22" width="8" style="7" bestFit="1" customWidth="1"/>
    <col min="23" max="23" width="4.85546875" style="7" bestFit="1" customWidth="1"/>
    <col min="24" max="24" width="7.28515625" style="7" bestFit="1" customWidth="1"/>
    <col min="25" max="25" width="8.42578125" style="7" bestFit="1" customWidth="1"/>
    <col min="26" max="26" width="8.28515625" style="7" customWidth="1"/>
    <col min="27" max="27" width="17.42578125" style="7" bestFit="1" customWidth="1"/>
    <col min="28" max="28" width="21.7109375" style="10" bestFit="1" customWidth="1"/>
    <col min="29" max="29" width="22.7109375" style="10" bestFit="1" customWidth="1"/>
    <col min="30" max="30" width="9.5703125" style="10" bestFit="1" customWidth="1"/>
    <col min="31" max="31" width="10.42578125" bestFit="1" customWidth="1"/>
  </cols>
  <sheetData>
    <row r="1" spans="1:31" ht="29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s="11" t="s">
        <v>16</v>
      </c>
      <c r="I1" s="11" t="s">
        <v>17</v>
      </c>
      <c r="J1" s="11" t="s">
        <v>18</v>
      </c>
      <c r="K1" s="11" t="s">
        <v>19</v>
      </c>
      <c r="L1" s="11" t="s">
        <v>20</v>
      </c>
      <c r="M1" s="16" t="s">
        <v>21</v>
      </c>
      <c r="N1" s="16" t="s">
        <v>22</v>
      </c>
      <c r="O1" s="16" t="s">
        <v>23</v>
      </c>
      <c r="P1" s="16" t="s">
        <v>24</v>
      </c>
      <c r="Q1" s="16" t="s">
        <v>25</v>
      </c>
      <c r="R1" s="16" t="s">
        <v>26</v>
      </c>
      <c r="S1" s="16" t="s">
        <v>27</v>
      </c>
      <c r="T1" s="17" t="s">
        <v>28</v>
      </c>
      <c r="U1" s="12" t="s">
        <v>29</v>
      </c>
      <c r="V1" s="12" t="s">
        <v>30</v>
      </c>
      <c r="W1" s="12" t="s">
        <v>31</v>
      </c>
      <c r="X1" s="12" t="s">
        <v>32</v>
      </c>
      <c r="Y1" s="13" t="s">
        <v>33</v>
      </c>
      <c r="Z1" s="13" t="s">
        <v>34</v>
      </c>
      <c r="AA1" s="12" t="s">
        <v>35</v>
      </c>
      <c r="AB1" s="14" t="s">
        <v>36</v>
      </c>
      <c r="AC1" s="15" t="s">
        <v>37</v>
      </c>
      <c r="AD1" s="14" t="s">
        <v>38</v>
      </c>
      <c r="AE1" t="s">
        <v>39</v>
      </c>
    </row>
    <row r="2" spans="1:31">
      <c r="A2" s="2">
        <v>46042</v>
      </c>
      <c r="B2" s="1">
        <v>8000066095</v>
      </c>
      <c r="C2" s="3" t="s">
        <v>40</v>
      </c>
      <c r="D2" s="3" t="s">
        <v>41</v>
      </c>
      <c r="E2" s="1">
        <v>92</v>
      </c>
      <c r="F2" s="1">
        <v>92</v>
      </c>
      <c r="G2" t="s">
        <v>42</v>
      </c>
      <c r="H2" s="5">
        <v>46</v>
      </c>
      <c r="I2" s="5"/>
      <c r="J2" s="5"/>
      <c r="K2" s="5"/>
      <c r="L2" s="1"/>
      <c r="M2" s="1"/>
      <c r="N2" s="1"/>
      <c r="O2" s="1"/>
      <c r="P2" s="1"/>
      <c r="Q2" s="1"/>
      <c r="R2" s="1"/>
      <c r="S2" s="1"/>
      <c r="T2" s="5"/>
      <c r="U2" s="5">
        <v>52</v>
      </c>
      <c r="V2" s="1"/>
      <c r="W2" s="1"/>
      <c r="X2" s="1"/>
      <c r="Y2" s="1"/>
      <c r="Z2" s="1"/>
      <c r="AA2" s="7">
        <f>SUM(H2:Z2)</f>
        <v>98</v>
      </c>
      <c r="AB2" s="8">
        <v>98</v>
      </c>
      <c r="AC2" s="1"/>
      <c r="AD2" s="21">
        <v>17642.84</v>
      </c>
      <c r="AE2" s="19">
        <f>Table8[[#This Row],[Total horas DME]]-Table8[[#This Row],[Horas sem Conversão]]</f>
        <v>6</v>
      </c>
    </row>
    <row r="3" spans="1:31" hidden="1">
      <c r="A3" s="2">
        <v>46178</v>
      </c>
      <c r="B3" s="1">
        <v>8000066112</v>
      </c>
      <c r="C3" s="3" t="s">
        <v>43</v>
      </c>
      <c r="D3" s="3" t="s">
        <v>41</v>
      </c>
      <c r="E3" s="1" t="s">
        <v>44</v>
      </c>
      <c r="F3" s="1" t="s">
        <v>44</v>
      </c>
      <c r="G3" s="1" t="s">
        <v>44</v>
      </c>
      <c r="H3" s="1"/>
      <c r="I3" s="1"/>
      <c r="J3" s="18"/>
      <c r="K3" s="1"/>
      <c r="L3" s="1"/>
      <c r="M3" s="1"/>
      <c r="N3" s="1"/>
      <c r="O3" s="1"/>
      <c r="P3" s="1"/>
      <c r="Q3" s="1"/>
      <c r="R3" s="1"/>
      <c r="S3" s="1"/>
      <c r="T3" s="18"/>
      <c r="U3" s="18"/>
      <c r="V3" s="1"/>
      <c r="W3" s="1"/>
      <c r="X3" s="1"/>
      <c r="Y3" s="1"/>
      <c r="Z3" s="1"/>
      <c r="AA3" s="1"/>
      <c r="AB3" s="1"/>
      <c r="AC3" s="1"/>
      <c r="AD3" s="1"/>
      <c r="AE3" s="19"/>
    </row>
    <row r="4" spans="1:31">
      <c r="A4" s="2">
        <v>46048</v>
      </c>
      <c r="B4" s="1">
        <v>8000066149</v>
      </c>
      <c r="C4" s="3" t="s">
        <v>45</v>
      </c>
      <c r="D4" s="3" t="s">
        <v>46</v>
      </c>
      <c r="E4" s="1">
        <v>70</v>
      </c>
      <c r="F4" s="1">
        <v>70</v>
      </c>
      <c r="G4" t="s">
        <v>47</v>
      </c>
      <c r="H4" s="1">
        <v>0</v>
      </c>
      <c r="I4" s="6">
        <v>34</v>
      </c>
      <c r="J4" s="6"/>
      <c r="K4" s="6"/>
      <c r="L4" s="1"/>
      <c r="M4" s="1"/>
      <c r="N4" s="1"/>
      <c r="O4" s="1"/>
      <c r="P4" s="1"/>
      <c r="Q4" s="1"/>
      <c r="R4" s="1"/>
      <c r="S4" s="1"/>
      <c r="T4" s="18"/>
      <c r="U4" s="6">
        <v>36</v>
      </c>
      <c r="V4" s="1"/>
      <c r="W4" s="1"/>
      <c r="X4" s="1"/>
      <c r="Y4" s="1"/>
      <c r="Z4" s="1"/>
      <c r="AA4" s="7">
        <f>SUM(H4:Z4)</f>
        <v>70</v>
      </c>
      <c r="AB4" s="9">
        <v>93.56</v>
      </c>
      <c r="AC4" s="1"/>
      <c r="AD4" s="9">
        <v>17067.400000000001</v>
      </c>
      <c r="AE4" s="19"/>
    </row>
    <row r="5" spans="1:31">
      <c r="A5" s="2">
        <v>46043</v>
      </c>
      <c r="B5" s="1">
        <v>8000066206</v>
      </c>
      <c r="C5" s="3" t="s">
        <v>48</v>
      </c>
      <c r="D5" s="3" t="s">
        <v>41</v>
      </c>
      <c r="E5" s="1">
        <v>67</v>
      </c>
      <c r="F5" s="1">
        <v>67</v>
      </c>
      <c r="G5" t="s">
        <v>49</v>
      </c>
      <c r="H5" s="1">
        <v>0</v>
      </c>
      <c r="I5" s="1"/>
      <c r="J5" s="18"/>
      <c r="K5" s="1"/>
      <c r="L5" s="1"/>
      <c r="M5" s="1"/>
      <c r="N5" s="1"/>
      <c r="O5" s="1"/>
      <c r="P5" s="1"/>
      <c r="Q5" s="1"/>
      <c r="R5" s="1"/>
      <c r="S5" s="1"/>
      <c r="T5" s="7">
        <v>48</v>
      </c>
      <c r="U5" s="7">
        <v>13</v>
      </c>
      <c r="V5" s="1"/>
      <c r="W5" s="1"/>
      <c r="X5" s="1"/>
      <c r="Y5" s="1"/>
      <c r="Z5" s="1"/>
      <c r="AA5" s="7">
        <f>SUM(H5:Z5)</f>
        <v>61</v>
      </c>
      <c r="AB5" s="1"/>
      <c r="AC5" s="1"/>
      <c r="AD5" s="20">
        <v>12848.59</v>
      </c>
      <c r="AE5" s="19">
        <f>Table8[[#This Row],[Total horas DME]]-Table8[[#This Row],[Horas sem Conversão]]</f>
        <v>-6</v>
      </c>
    </row>
    <row r="6" spans="1:31" hidden="1">
      <c r="A6" s="2">
        <v>46021</v>
      </c>
      <c r="B6" s="1">
        <v>8000066328</v>
      </c>
      <c r="C6" s="3" t="s">
        <v>50</v>
      </c>
      <c r="D6" s="3" t="s">
        <v>41</v>
      </c>
      <c r="E6" s="1" t="s">
        <v>44</v>
      </c>
      <c r="F6" s="1" t="s">
        <v>44</v>
      </c>
      <c r="G6" s="1" t="s">
        <v>44</v>
      </c>
      <c r="H6" s="1"/>
      <c r="I6" s="1"/>
      <c r="J6" s="18"/>
      <c r="K6" s="1"/>
      <c r="L6" s="1"/>
      <c r="M6" s="1"/>
      <c r="N6" s="1"/>
      <c r="O6" s="1"/>
      <c r="P6" s="1"/>
      <c r="Q6" s="1"/>
      <c r="R6" s="1"/>
      <c r="S6" s="1"/>
      <c r="T6" s="18"/>
      <c r="U6" s="18"/>
      <c r="V6" s="1"/>
      <c r="W6" s="1"/>
      <c r="X6" s="1"/>
      <c r="Y6" s="1"/>
      <c r="Z6" s="1"/>
      <c r="AA6" s="1"/>
      <c r="AB6" s="1"/>
      <c r="AC6" s="1"/>
      <c r="AD6" s="1"/>
      <c r="AE6" s="19"/>
    </row>
    <row r="7" spans="1:31">
      <c r="A7" s="2">
        <v>46024</v>
      </c>
      <c r="B7" s="1">
        <v>8000066329</v>
      </c>
      <c r="C7" s="3" t="s">
        <v>51</v>
      </c>
      <c r="D7" s="3" t="s">
        <v>46</v>
      </c>
      <c r="E7" s="1">
        <v>139</v>
      </c>
      <c r="F7" s="1">
        <v>139</v>
      </c>
      <c r="G7" t="s">
        <v>52</v>
      </c>
      <c r="H7" s="1">
        <v>0</v>
      </c>
      <c r="I7" s="6"/>
      <c r="J7" s="6"/>
      <c r="K7" s="6">
        <v>56</v>
      </c>
      <c r="L7" s="1"/>
      <c r="M7" s="1"/>
      <c r="N7" s="1"/>
      <c r="O7" s="1"/>
      <c r="P7" s="1"/>
      <c r="Q7" s="1"/>
      <c r="R7" s="1"/>
      <c r="S7" s="1"/>
      <c r="T7" s="18"/>
      <c r="U7" s="6">
        <v>86</v>
      </c>
      <c r="V7" s="1"/>
      <c r="W7" s="1"/>
      <c r="X7" s="1"/>
      <c r="Y7" s="1"/>
      <c r="Z7" s="1"/>
      <c r="AA7" s="7">
        <f>SUM(H7:Z7)</f>
        <v>142</v>
      </c>
      <c r="AB7" s="9">
        <v>189.07</v>
      </c>
      <c r="AC7" s="1"/>
      <c r="AD7" s="9">
        <v>34490.32</v>
      </c>
      <c r="AE7" s="19">
        <f>Table8[[#This Row],[Total horas DME]]-Table8[[#This Row],[Horas sem Conversão]]</f>
        <v>3</v>
      </c>
    </row>
    <row r="8" spans="1:31" hidden="1">
      <c r="A8" s="2">
        <v>46037</v>
      </c>
      <c r="B8" s="1">
        <v>8000066354</v>
      </c>
      <c r="C8" s="3" t="s">
        <v>53</v>
      </c>
      <c r="D8" s="3" t="s">
        <v>54</v>
      </c>
      <c r="E8" s="1" t="s">
        <v>44</v>
      </c>
      <c r="F8" s="1" t="s">
        <v>44</v>
      </c>
      <c r="G8" s="1" t="s">
        <v>44</v>
      </c>
      <c r="H8" s="1"/>
      <c r="I8" s="1"/>
      <c r="J8" s="18"/>
      <c r="K8" s="1"/>
      <c r="L8" s="1"/>
      <c r="M8" s="1"/>
      <c r="N8" s="1"/>
      <c r="O8" s="1"/>
      <c r="P8" s="1"/>
      <c r="Q8" s="1"/>
      <c r="R8" s="1"/>
      <c r="S8" s="1"/>
      <c r="T8" s="18"/>
      <c r="U8" s="18"/>
      <c r="V8" s="1"/>
      <c r="W8" s="1"/>
      <c r="X8" s="1"/>
      <c r="Y8" s="1"/>
      <c r="Z8" s="1"/>
      <c r="AA8" s="1"/>
      <c r="AB8" s="1"/>
      <c r="AC8" s="1"/>
      <c r="AD8" s="1"/>
      <c r="AE8" s="19"/>
    </row>
    <row r="9" spans="1:31">
      <c r="A9" s="2">
        <v>46028</v>
      </c>
      <c r="B9" s="1">
        <v>8000066397</v>
      </c>
      <c r="C9" s="3" t="s">
        <v>55</v>
      </c>
      <c r="D9" s="3" t="s">
        <v>56</v>
      </c>
      <c r="E9" s="1">
        <v>53.05</v>
      </c>
      <c r="F9" s="1">
        <v>51.97</v>
      </c>
      <c r="G9" t="s">
        <v>57</v>
      </c>
      <c r="H9" s="1">
        <v>0</v>
      </c>
      <c r="I9" s="1"/>
      <c r="J9" s="7">
        <v>48</v>
      </c>
      <c r="K9" s="1"/>
      <c r="L9" s="1"/>
      <c r="M9" s="1"/>
      <c r="N9" s="1"/>
      <c r="O9" s="1"/>
      <c r="P9" s="1"/>
      <c r="Q9" s="1"/>
      <c r="R9" s="1"/>
      <c r="S9" s="1"/>
      <c r="T9" s="18"/>
      <c r="U9" s="18"/>
      <c r="V9" s="1"/>
      <c r="W9" s="1"/>
      <c r="X9" s="1"/>
      <c r="Y9" s="1"/>
      <c r="Z9" s="1"/>
      <c r="AA9" s="7">
        <f>SUM(H9:Z9)</f>
        <v>48</v>
      </c>
      <c r="AB9" s="7">
        <v>57.05</v>
      </c>
      <c r="AC9" s="1"/>
      <c r="AD9" s="4">
        <v>11484</v>
      </c>
      <c r="AE9" s="19">
        <f>Table8[[#This Row],[Total horas DME]]-Table8[[#This Row],[Horas sem Conversão]]</f>
        <v>-5.0499999999999972</v>
      </c>
    </row>
    <row r="10" spans="1:31">
      <c r="A10" s="2">
        <v>46063</v>
      </c>
      <c r="B10" s="1">
        <v>8000066422</v>
      </c>
      <c r="C10" s="3" t="s">
        <v>58</v>
      </c>
      <c r="D10" s="3" t="s">
        <v>46</v>
      </c>
      <c r="E10" s="1">
        <v>128</v>
      </c>
      <c r="F10" s="1">
        <v>128</v>
      </c>
      <c r="G10" t="s">
        <v>59</v>
      </c>
      <c r="H10" s="1">
        <v>0</v>
      </c>
      <c r="I10" s="6">
        <v>60</v>
      </c>
      <c r="J10" s="18"/>
      <c r="K10" s="6"/>
      <c r="L10" s="1"/>
      <c r="M10" s="1"/>
      <c r="N10" s="1"/>
      <c r="O10" s="1"/>
      <c r="P10" s="1"/>
      <c r="Q10" s="1"/>
      <c r="R10" s="1"/>
      <c r="S10" s="1"/>
      <c r="T10" s="18"/>
      <c r="U10" s="6">
        <v>68</v>
      </c>
      <c r="V10" s="1"/>
      <c r="W10" s="1"/>
      <c r="X10" s="1"/>
      <c r="Y10" s="1"/>
      <c r="Z10" s="1"/>
      <c r="AA10" s="7">
        <f>SUM(H10:Z10)</f>
        <v>128</v>
      </c>
      <c r="AB10" s="9">
        <v>170.55</v>
      </c>
      <c r="AC10" s="1"/>
      <c r="AD10" s="9">
        <v>31112.44</v>
      </c>
      <c r="AE10" s="19"/>
    </row>
    <row r="11" spans="1:31" hidden="1">
      <c r="A11" s="2">
        <v>46020</v>
      </c>
      <c r="B11" s="1">
        <v>8000066545</v>
      </c>
      <c r="C11" s="3" t="s">
        <v>60</v>
      </c>
      <c r="D11" s="3" t="s">
        <v>54</v>
      </c>
      <c r="E11" s="1" t="s">
        <v>44</v>
      </c>
      <c r="F11" s="1" t="s">
        <v>44</v>
      </c>
      <c r="G11" s="1" t="s">
        <v>44</v>
      </c>
      <c r="H11" s="1"/>
      <c r="I11" s="1"/>
      <c r="J11" s="18"/>
      <c r="K11" s="1"/>
      <c r="L11" s="1"/>
      <c r="M11" s="1"/>
      <c r="N11" s="1"/>
      <c r="O11" s="1"/>
      <c r="P11" s="1"/>
      <c r="Q11" s="1"/>
      <c r="R11" s="1"/>
      <c r="S11" s="1"/>
      <c r="T11" s="18"/>
      <c r="U11" s="18"/>
      <c r="V11" s="1"/>
      <c r="W11" s="1"/>
      <c r="X11" s="1"/>
      <c r="Y11" s="1"/>
      <c r="Z11" s="1"/>
      <c r="AA11" s="1"/>
      <c r="AB11" s="1"/>
      <c r="AC11" s="1"/>
      <c r="AD11" s="1"/>
      <c r="AE11" s="19"/>
    </row>
    <row r="12" spans="1:31">
      <c r="A12" s="2">
        <v>46028</v>
      </c>
      <c r="B12" s="1">
        <v>8000066604</v>
      </c>
      <c r="C12" s="3" t="s">
        <v>61</v>
      </c>
      <c r="D12" s="3" t="s">
        <v>62</v>
      </c>
      <c r="E12" s="1">
        <v>160.06</v>
      </c>
      <c r="F12" s="1">
        <v>157.16999999999999</v>
      </c>
      <c r="G12" t="s">
        <v>63</v>
      </c>
      <c r="H12" s="1">
        <v>0</v>
      </c>
      <c r="I12" s="5"/>
      <c r="J12" s="18"/>
      <c r="K12" s="5">
        <v>66</v>
      </c>
      <c r="L12" s="1"/>
      <c r="M12" s="1"/>
      <c r="N12" s="1"/>
      <c r="O12" s="1"/>
      <c r="P12" s="1"/>
      <c r="Q12" s="1"/>
      <c r="R12" s="1"/>
      <c r="S12" s="1"/>
      <c r="T12" s="18"/>
      <c r="U12" s="5">
        <v>62</v>
      </c>
      <c r="V12" s="1"/>
      <c r="W12" s="1"/>
      <c r="X12" s="1"/>
      <c r="Y12" s="1"/>
      <c r="Z12" s="1"/>
      <c r="AA12" s="7">
        <f>SUM(H12:Z12)</f>
        <v>128</v>
      </c>
      <c r="AB12" s="8">
        <v>167.06</v>
      </c>
      <c r="AC12" s="1"/>
      <c r="AD12" s="8">
        <v>30626.28</v>
      </c>
      <c r="AE12" s="19">
        <f>Table8[[#This Row],[Total horas DME]]-Table8[[#This Row],[Horas sem Conversão]]</f>
        <v>-32.06</v>
      </c>
    </row>
    <row r="13" spans="1:31" hidden="1">
      <c r="A13" s="2">
        <v>46030</v>
      </c>
      <c r="B13" s="1">
        <v>8000066606</v>
      </c>
      <c r="C13" s="3" t="s">
        <v>64</v>
      </c>
      <c r="D13" s="3" t="s">
        <v>41</v>
      </c>
      <c r="E13" s="1" t="s">
        <v>44</v>
      </c>
      <c r="F13" s="1" t="s">
        <v>44</v>
      </c>
      <c r="G13" s="1" t="s">
        <v>44</v>
      </c>
      <c r="H13" s="1"/>
      <c r="I13" s="1"/>
      <c r="J13" s="18"/>
      <c r="K13" s="1"/>
      <c r="L13" s="1"/>
      <c r="M13" s="1"/>
      <c r="N13" s="1"/>
      <c r="O13" s="1"/>
      <c r="P13" s="1"/>
      <c r="Q13" s="1"/>
      <c r="R13" s="1"/>
      <c r="S13" s="1"/>
      <c r="T13" s="18"/>
      <c r="U13" s="18"/>
      <c r="V13" s="1"/>
      <c r="W13" s="1"/>
      <c r="X13" s="1"/>
      <c r="Y13" s="1"/>
      <c r="Z13" s="1"/>
      <c r="AA13" s="1"/>
      <c r="AB13" s="1"/>
      <c r="AC13" s="1"/>
      <c r="AD13" s="1"/>
      <c r="AE13" s="19"/>
    </row>
    <row r="14" spans="1:31" hidden="1">
      <c r="A14" s="2">
        <v>46037</v>
      </c>
      <c r="B14" s="1">
        <v>8000066611</v>
      </c>
      <c r="C14" s="3" t="s">
        <v>65</v>
      </c>
      <c r="D14" s="3" t="s">
        <v>56</v>
      </c>
      <c r="E14" s="1" t="s">
        <v>44</v>
      </c>
      <c r="F14" s="1" t="s">
        <v>44</v>
      </c>
      <c r="G14" s="1" t="s">
        <v>44</v>
      </c>
      <c r="H14" s="1"/>
      <c r="I14" s="1"/>
      <c r="J14" s="18"/>
      <c r="K14" s="1"/>
      <c r="L14" s="1"/>
      <c r="M14" s="1"/>
      <c r="N14" s="1"/>
      <c r="O14" s="1"/>
      <c r="P14" s="1"/>
      <c r="Q14" s="1"/>
      <c r="R14" s="1"/>
      <c r="S14" s="1"/>
      <c r="T14" s="18"/>
      <c r="U14" s="18"/>
      <c r="V14" s="1"/>
      <c r="W14" s="1"/>
      <c r="X14" s="1"/>
      <c r="Y14" s="1"/>
      <c r="Z14" s="1"/>
      <c r="AA14" s="1"/>
      <c r="AB14" s="1"/>
      <c r="AC14" s="1"/>
      <c r="AD14" s="1"/>
      <c r="AE14" s="19"/>
    </row>
    <row r="15" spans="1:31" hidden="1">
      <c r="A15" s="2">
        <v>46056</v>
      </c>
      <c r="B15" s="1">
        <v>8000066643</v>
      </c>
      <c r="C15" s="3" t="s">
        <v>66</v>
      </c>
      <c r="D15" s="3" t="s">
        <v>67</v>
      </c>
      <c r="E15" s="1" t="s">
        <v>44</v>
      </c>
      <c r="F15" s="1" t="s">
        <v>44</v>
      </c>
      <c r="G15" s="1" t="s">
        <v>44</v>
      </c>
      <c r="H15" s="1"/>
      <c r="I15" s="1"/>
      <c r="J15" s="18"/>
      <c r="K15" s="1"/>
      <c r="L15" s="1"/>
      <c r="M15" s="1"/>
      <c r="N15" s="1"/>
      <c r="O15" s="1"/>
      <c r="P15" s="1"/>
      <c r="Q15" s="1"/>
      <c r="R15" s="1"/>
      <c r="S15" s="1"/>
      <c r="T15" s="18"/>
      <c r="U15" s="18"/>
      <c r="V15" s="1"/>
      <c r="W15" s="1"/>
      <c r="X15" s="1"/>
      <c r="Y15" s="1"/>
      <c r="Z15" s="1"/>
      <c r="AA15" s="1"/>
      <c r="AB15" s="1"/>
      <c r="AC15" s="1"/>
      <c r="AD15" s="1"/>
      <c r="AE15" s="19"/>
    </row>
    <row r="16" spans="1:31">
      <c r="A16" s="2">
        <v>46164</v>
      </c>
      <c r="B16" s="1">
        <v>8000066644</v>
      </c>
      <c r="C16" s="3" t="s">
        <v>68</v>
      </c>
      <c r="D16" s="3" t="s">
        <v>67</v>
      </c>
      <c r="E16" s="1">
        <v>66</v>
      </c>
      <c r="F16" s="1">
        <v>66</v>
      </c>
      <c r="G16" t="s">
        <v>69</v>
      </c>
      <c r="H16" s="1">
        <v>0</v>
      </c>
      <c r="J16" s="18"/>
      <c r="L16" s="7">
        <v>12</v>
      </c>
      <c r="M16" s="1"/>
      <c r="N16" s="1"/>
      <c r="O16" s="1"/>
      <c r="P16" s="1"/>
      <c r="Q16" s="1"/>
      <c r="R16" s="1"/>
      <c r="S16" s="1"/>
      <c r="T16" s="18"/>
      <c r="X16" s="7">
        <v>17</v>
      </c>
      <c r="AA16" s="7">
        <f>SUM(H16:Z16)</f>
        <v>29</v>
      </c>
      <c r="AB16" s="10">
        <v>29.72</v>
      </c>
      <c r="AD16" s="10">
        <v>6641.43</v>
      </c>
      <c r="AE16" s="19">
        <f>Table8[[#This Row],[Total horas DME]]-Table8[[#This Row],[Horas sem Conversão]]</f>
        <v>-37</v>
      </c>
    </row>
    <row r="17" spans="1:31" hidden="1">
      <c r="A17" s="2">
        <v>46017</v>
      </c>
      <c r="B17" s="1">
        <v>8000066654</v>
      </c>
      <c r="C17" s="3" t="s">
        <v>70</v>
      </c>
      <c r="D17" s="3" t="s">
        <v>62</v>
      </c>
      <c r="E17" s="1" t="s">
        <v>44</v>
      </c>
      <c r="F17" s="1" t="s">
        <v>44</v>
      </c>
      <c r="G17" s="1" t="s">
        <v>44</v>
      </c>
      <c r="H17" s="1"/>
      <c r="I17" s="1"/>
      <c r="J17" s="18"/>
      <c r="K17" s="1"/>
      <c r="L17" s="1"/>
      <c r="M17" s="1"/>
      <c r="N17" s="1"/>
      <c r="O17" s="1"/>
      <c r="P17" s="1"/>
      <c r="Q17" s="1"/>
      <c r="R17" s="1"/>
      <c r="S17" s="1"/>
      <c r="T17" s="18"/>
      <c r="U17" s="18"/>
      <c r="V17" s="1"/>
      <c r="W17" s="1"/>
      <c r="X17" s="1"/>
      <c r="Y17" s="1"/>
      <c r="Z17" s="1"/>
      <c r="AA17" s="1"/>
      <c r="AB17" s="1"/>
      <c r="AC17" s="1"/>
      <c r="AD17" s="1"/>
      <c r="AE17" s="19"/>
    </row>
    <row r="18" spans="1:31">
      <c r="A18" s="2">
        <v>46062</v>
      </c>
      <c r="B18" s="1">
        <v>8000066696</v>
      </c>
      <c r="C18" s="3" t="s">
        <v>71</v>
      </c>
      <c r="D18" s="3" t="s">
        <v>46</v>
      </c>
      <c r="E18" s="1">
        <v>118</v>
      </c>
      <c r="F18" s="1">
        <v>118</v>
      </c>
      <c r="G18" t="s">
        <v>72</v>
      </c>
      <c r="H18" s="7">
        <v>4</v>
      </c>
      <c r="J18" s="18"/>
      <c r="K18" s="7">
        <v>4</v>
      </c>
      <c r="M18" s="1"/>
      <c r="N18" s="1"/>
      <c r="O18" s="1"/>
      <c r="P18" s="1"/>
      <c r="Q18" s="1"/>
      <c r="R18" s="1"/>
      <c r="S18" s="1"/>
      <c r="T18" s="18"/>
      <c r="AA18" s="7">
        <f>SUM(H18:Z18)</f>
        <v>8</v>
      </c>
      <c r="AB18" s="10">
        <v>11.7</v>
      </c>
      <c r="AD18" s="10">
        <v>2133.44</v>
      </c>
      <c r="AE18" s="19">
        <f>Table8[[#This Row],[Total horas DME]]-Table8[[#This Row],[Horas sem Conversão]]</f>
        <v>-110</v>
      </c>
    </row>
    <row r="19" spans="1:31" hidden="1">
      <c r="A19" s="2">
        <v>46052</v>
      </c>
      <c r="B19" s="1">
        <v>8000066759</v>
      </c>
      <c r="C19" s="3" t="s">
        <v>73</v>
      </c>
      <c r="D19" s="3" t="s">
        <v>54</v>
      </c>
      <c r="E19" s="1" t="s">
        <v>44</v>
      </c>
      <c r="F19" s="1" t="s">
        <v>44</v>
      </c>
      <c r="G19" s="1" t="s">
        <v>44</v>
      </c>
      <c r="H19" s="1"/>
      <c r="I19" s="1"/>
      <c r="J19" s="18"/>
      <c r="K19" s="1"/>
      <c r="L19" s="1"/>
      <c r="M19" s="1"/>
      <c r="N19" s="1"/>
      <c r="O19" s="1"/>
      <c r="P19" s="1"/>
      <c r="Q19" s="1"/>
      <c r="R19" s="1"/>
      <c r="S19" s="1"/>
      <c r="T19" s="18"/>
      <c r="U19" s="18"/>
      <c r="V19" s="1"/>
      <c r="W19" s="1"/>
      <c r="X19" s="1"/>
      <c r="Y19" s="1"/>
      <c r="Z19" s="1"/>
      <c r="AA19" s="1"/>
      <c r="AB19" s="1"/>
      <c r="AC19" s="1"/>
      <c r="AD19" s="1"/>
      <c r="AE19" s="19"/>
    </row>
    <row r="20" spans="1:31" hidden="1">
      <c r="A20" s="2">
        <v>46029</v>
      </c>
      <c r="B20" s="1">
        <v>8000066763</v>
      </c>
      <c r="C20" s="3" t="s">
        <v>74</v>
      </c>
      <c r="D20" s="3" t="s">
        <v>75</v>
      </c>
      <c r="E20" s="1" t="s">
        <v>44</v>
      </c>
      <c r="F20" s="1" t="s">
        <v>44</v>
      </c>
      <c r="G20" s="1" t="s">
        <v>44</v>
      </c>
      <c r="H20" s="1"/>
      <c r="I20" s="1"/>
      <c r="J20" s="18"/>
      <c r="K20" s="1"/>
      <c r="L20" s="1"/>
      <c r="M20" s="1"/>
      <c r="N20" s="1"/>
      <c r="O20" s="1"/>
      <c r="P20" s="1"/>
      <c r="Q20" s="1"/>
      <c r="R20" s="1"/>
      <c r="S20" s="1"/>
      <c r="T20" s="18"/>
      <c r="U20" s="18"/>
      <c r="V20" s="1"/>
      <c r="W20" s="1"/>
      <c r="X20" s="1"/>
      <c r="Y20" s="1"/>
      <c r="Z20" s="1"/>
      <c r="AA20" s="1"/>
      <c r="AB20" s="1"/>
      <c r="AC20" s="1"/>
      <c r="AD20" s="1"/>
      <c r="AE20" s="19"/>
    </row>
    <row r="21" spans="1:31">
      <c r="A21" s="2">
        <v>46078</v>
      </c>
      <c r="B21" s="1">
        <v>8000066776</v>
      </c>
      <c r="C21" s="3" t="s">
        <v>76</v>
      </c>
      <c r="D21" s="3" t="s">
        <v>41</v>
      </c>
      <c r="E21" s="1">
        <v>93.5</v>
      </c>
      <c r="F21" s="1">
        <v>93.5</v>
      </c>
      <c r="G21" t="s">
        <v>77</v>
      </c>
      <c r="H21" s="7">
        <v>0</v>
      </c>
      <c r="M21" s="1"/>
      <c r="N21" s="1"/>
      <c r="O21" s="1"/>
      <c r="P21" s="1"/>
      <c r="Q21" s="1"/>
      <c r="R21" s="1"/>
      <c r="S21" s="1"/>
      <c r="T21" s="7">
        <v>56</v>
      </c>
      <c r="U21" s="7">
        <v>44</v>
      </c>
      <c r="AA21" s="7">
        <f>SUM(H21:Z21)</f>
        <v>100</v>
      </c>
      <c r="AB21" s="10">
        <v>999999</v>
      </c>
      <c r="AD21" s="20">
        <v>17930.495000000003</v>
      </c>
      <c r="AE21" s="19">
        <f>Table8[[#This Row],[Total horas DME]]-Table8[[#This Row],[Horas sem Conversão]]</f>
        <v>6.5</v>
      </c>
    </row>
    <row r="22" spans="1:31" hidden="1">
      <c r="A22" s="2">
        <v>46080</v>
      </c>
      <c r="B22" s="1">
        <v>8000066792</v>
      </c>
      <c r="C22" s="3" t="s">
        <v>78</v>
      </c>
      <c r="D22" s="3" t="s">
        <v>79</v>
      </c>
      <c r="E22" s="1" t="s">
        <v>44</v>
      </c>
      <c r="F22" s="1" t="s">
        <v>44</v>
      </c>
      <c r="G22" s="1" t="s">
        <v>44</v>
      </c>
      <c r="H22" s="1"/>
      <c r="I22" s="1"/>
      <c r="J22" s="18"/>
      <c r="K22" s="1"/>
      <c r="L22" s="1"/>
      <c r="M22" s="1"/>
      <c r="N22" s="1"/>
      <c r="O22" s="1"/>
      <c r="P22" s="1"/>
      <c r="Q22" s="1"/>
      <c r="R22" s="1"/>
      <c r="S22" s="1"/>
      <c r="T22" s="18"/>
      <c r="U22" s="18"/>
      <c r="V22" s="1"/>
      <c r="W22" s="1"/>
      <c r="X22" s="1"/>
      <c r="Y22" s="1"/>
      <c r="Z22" s="1"/>
      <c r="AA22" s="1"/>
      <c r="AB22" s="1"/>
      <c r="AC22" s="1"/>
      <c r="AD22" s="1"/>
      <c r="AE22" s="19"/>
    </row>
    <row r="23" spans="1:31" hidden="1">
      <c r="A23" s="2">
        <v>46024</v>
      </c>
      <c r="B23" s="1">
        <v>8000066800</v>
      </c>
      <c r="C23" s="3" t="s">
        <v>80</v>
      </c>
      <c r="D23" s="3" t="s">
        <v>62</v>
      </c>
      <c r="E23" s="1" t="s">
        <v>44</v>
      </c>
      <c r="F23" s="1" t="s">
        <v>44</v>
      </c>
      <c r="G23" s="1" t="s">
        <v>44</v>
      </c>
      <c r="H23" s="1"/>
      <c r="I23" s="1"/>
      <c r="J23" s="18"/>
      <c r="K23" s="1"/>
      <c r="L23" s="1"/>
      <c r="M23" s="1"/>
      <c r="N23" s="1"/>
      <c r="O23" s="1"/>
      <c r="P23" s="1"/>
      <c r="Q23" s="1"/>
      <c r="R23" s="1"/>
      <c r="S23" s="1"/>
      <c r="T23" s="18"/>
      <c r="U23" s="18"/>
      <c r="V23" s="1"/>
      <c r="W23" s="1"/>
      <c r="X23" s="1"/>
      <c r="Y23" s="1"/>
      <c r="Z23" s="1"/>
      <c r="AA23" s="1"/>
      <c r="AB23" s="1"/>
      <c r="AC23" s="1"/>
      <c r="AD23" s="1"/>
      <c r="AE23" s="19"/>
    </row>
    <row r="24" spans="1:31" hidden="1">
      <c r="A24" s="2">
        <v>46077</v>
      </c>
      <c r="B24" s="1">
        <v>8000066802</v>
      </c>
      <c r="C24" s="3" t="s">
        <v>81</v>
      </c>
      <c r="D24" s="3" t="s">
        <v>79</v>
      </c>
      <c r="E24" s="1" t="s">
        <v>44</v>
      </c>
      <c r="F24" s="1" t="s">
        <v>44</v>
      </c>
      <c r="G24" s="1" t="s">
        <v>44</v>
      </c>
      <c r="H24" s="1"/>
      <c r="I24" s="1"/>
      <c r="J24" s="18"/>
      <c r="K24" s="1"/>
      <c r="L24" s="1"/>
      <c r="M24" s="1"/>
      <c r="N24" s="1"/>
      <c r="O24" s="1"/>
      <c r="P24" s="1"/>
      <c r="Q24" s="1"/>
      <c r="R24" s="1"/>
      <c r="S24" s="1"/>
      <c r="T24" s="18"/>
      <c r="U24" s="18"/>
      <c r="V24" s="1"/>
      <c r="W24" s="1"/>
      <c r="X24" s="1"/>
      <c r="Y24" s="1"/>
      <c r="Z24" s="1"/>
      <c r="AA24" s="1"/>
      <c r="AB24" s="1"/>
      <c r="AC24" s="1"/>
      <c r="AD24" s="1"/>
      <c r="AE24" s="19"/>
    </row>
    <row r="25" spans="1:31">
      <c r="A25" s="2">
        <v>46064</v>
      </c>
      <c r="B25" s="1">
        <v>8000066812</v>
      </c>
      <c r="C25" s="3" t="s">
        <v>82</v>
      </c>
      <c r="D25" s="3" t="s">
        <v>62</v>
      </c>
      <c r="E25" s="1">
        <v>25.17</v>
      </c>
      <c r="F25" s="1">
        <v>35.729999999999997</v>
      </c>
      <c r="G25" t="s">
        <v>83</v>
      </c>
      <c r="H25" s="7">
        <v>0</v>
      </c>
      <c r="T25" s="7">
        <v>50</v>
      </c>
      <c r="U25" s="7">
        <v>66</v>
      </c>
      <c r="AA25" s="7">
        <f t="shared" ref="AA25:AA26" si="0">SUM(H25:Z25)</f>
        <v>116</v>
      </c>
      <c r="AB25" s="10">
        <v>149.07</v>
      </c>
      <c r="AD25" s="10">
        <v>27329.4</v>
      </c>
      <c r="AE25" s="19">
        <f>Table8[[#This Row],[Total horas DME]]-Table8[[#This Row],[Horas sem Conversão]]</f>
        <v>90.83</v>
      </c>
    </row>
    <row r="26" spans="1:31">
      <c r="A26" s="2">
        <v>46072</v>
      </c>
      <c r="B26" s="1">
        <v>8000066866</v>
      </c>
      <c r="C26" s="3" t="s">
        <v>84</v>
      </c>
      <c r="D26" s="3" t="s">
        <v>41</v>
      </c>
      <c r="E26" s="1">
        <v>224</v>
      </c>
      <c r="F26" s="1">
        <v>224</v>
      </c>
      <c r="G26" t="s">
        <v>85</v>
      </c>
      <c r="H26" s="7">
        <v>0</v>
      </c>
      <c r="K26" s="7">
        <v>208</v>
      </c>
      <c r="U26" s="7">
        <v>16</v>
      </c>
      <c r="AA26" s="7">
        <f t="shared" si="0"/>
        <v>224</v>
      </c>
      <c r="AB26" s="10">
        <v>999999</v>
      </c>
      <c r="AD26" s="20">
        <v>42956.480000000003</v>
      </c>
      <c r="AE26" s="19"/>
    </row>
    <row r="27" spans="1:31" hidden="1">
      <c r="A27" s="2">
        <v>46056</v>
      </c>
      <c r="B27" s="1">
        <v>8000066882</v>
      </c>
      <c r="C27" s="3" t="s">
        <v>86</v>
      </c>
      <c r="D27" s="3" t="s">
        <v>67</v>
      </c>
      <c r="E27" s="1" t="s">
        <v>44</v>
      </c>
      <c r="F27" s="1" t="s">
        <v>44</v>
      </c>
      <c r="G27" s="1" t="s">
        <v>44</v>
      </c>
      <c r="H27" s="1"/>
      <c r="I27" s="1"/>
      <c r="J27" s="18"/>
      <c r="K27" s="1"/>
      <c r="L27" s="1"/>
      <c r="M27" s="1"/>
      <c r="N27" s="1"/>
      <c r="O27" s="1"/>
      <c r="P27" s="1"/>
      <c r="Q27" s="1"/>
      <c r="R27" s="1"/>
      <c r="S27" s="1"/>
      <c r="T27" s="18"/>
      <c r="U27" s="18"/>
      <c r="V27" s="1"/>
      <c r="W27" s="1"/>
      <c r="X27" s="1"/>
      <c r="Y27" s="1"/>
      <c r="Z27" s="1"/>
      <c r="AA27" s="1"/>
      <c r="AB27" s="1"/>
      <c r="AC27" s="1"/>
      <c r="AD27" s="1"/>
      <c r="AE27" s="19"/>
    </row>
    <row r="28" spans="1:31">
      <c r="A28" s="2">
        <v>46094</v>
      </c>
      <c r="B28" s="1">
        <v>8000066922</v>
      </c>
      <c r="C28" s="3" t="s">
        <v>87</v>
      </c>
      <c r="D28" s="3" t="s">
        <v>41</v>
      </c>
      <c r="E28" s="1">
        <v>48</v>
      </c>
      <c r="F28" s="1">
        <v>48</v>
      </c>
      <c r="G28" t="s">
        <v>88</v>
      </c>
      <c r="H28" s="7">
        <v>0</v>
      </c>
      <c r="T28" s="7">
        <v>32</v>
      </c>
      <c r="U28" s="7">
        <v>22</v>
      </c>
      <c r="AA28" s="7">
        <f>SUM(H28:Z28)</f>
        <v>54</v>
      </c>
      <c r="AB28" s="10">
        <v>999999</v>
      </c>
      <c r="AD28" s="20">
        <v>9204.9600000000009</v>
      </c>
      <c r="AE28" s="19">
        <f>Table8[[#This Row],[Total horas DME]]-Table8[[#This Row],[Horas sem Conversão]]</f>
        <v>6</v>
      </c>
    </row>
    <row r="29" spans="1:31" hidden="1">
      <c r="A29" s="2">
        <v>46048</v>
      </c>
      <c r="B29" s="1">
        <v>8000066934</v>
      </c>
      <c r="C29" s="3" t="s">
        <v>89</v>
      </c>
      <c r="D29" s="3" t="s">
        <v>41</v>
      </c>
      <c r="E29" s="1" t="s">
        <v>44</v>
      </c>
      <c r="F29" s="1" t="s">
        <v>44</v>
      </c>
      <c r="G29" s="1" t="s">
        <v>44</v>
      </c>
      <c r="H29" s="1"/>
      <c r="I29" s="1"/>
      <c r="J29" s="18"/>
      <c r="K29" s="1"/>
      <c r="L29" s="1"/>
      <c r="M29" s="1"/>
      <c r="N29" s="1"/>
      <c r="O29" s="1"/>
      <c r="P29" s="1"/>
      <c r="Q29" s="1"/>
      <c r="R29" s="1"/>
      <c r="S29" s="1"/>
      <c r="T29" s="18"/>
      <c r="U29" s="18"/>
      <c r="V29" s="1"/>
      <c r="W29" s="1"/>
      <c r="X29" s="1"/>
      <c r="Y29" s="1"/>
      <c r="Z29" s="1"/>
      <c r="AA29" s="1"/>
      <c r="AB29" s="1"/>
      <c r="AC29" s="1"/>
      <c r="AD29" s="1"/>
      <c r="AE29" s="19"/>
    </row>
    <row r="30" spans="1:31" hidden="1">
      <c r="A30" s="2">
        <v>46037</v>
      </c>
      <c r="B30" s="1">
        <v>8000066977</v>
      </c>
      <c r="C30" s="3" t="s">
        <v>90</v>
      </c>
      <c r="D30" s="3" t="s">
        <v>62</v>
      </c>
      <c r="E30" s="1" t="s">
        <v>44</v>
      </c>
      <c r="F30" s="1" t="s">
        <v>44</v>
      </c>
      <c r="G30" s="1" t="s">
        <v>44</v>
      </c>
      <c r="H30" s="1"/>
      <c r="I30" s="1"/>
      <c r="J30" s="18"/>
      <c r="K30" s="1"/>
      <c r="L30" s="1"/>
      <c r="M30" s="1"/>
      <c r="N30" s="1"/>
      <c r="O30" s="1"/>
      <c r="P30" s="1"/>
      <c r="Q30" s="1"/>
      <c r="R30" s="1"/>
      <c r="S30" s="1"/>
      <c r="T30" s="18"/>
      <c r="U30" s="18"/>
      <c r="V30" s="1"/>
      <c r="W30" s="1"/>
      <c r="X30" s="1"/>
      <c r="Y30" s="1"/>
      <c r="Z30" s="1"/>
      <c r="AA30" s="1"/>
      <c r="AB30" s="1"/>
      <c r="AC30" s="1"/>
      <c r="AD30" s="1"/>
      <c r="AE30" s="19"/>
    </row>
    <row r="31" spans="1:31">
      <c r="A31" s="2">
        <v>46064</v>
      </c>
      <c r="B31" s="1">
        <v>8000066987</v>
      </c>
      <c r="C31" s="3" t="s">
        <v>91</v>
      </c>
      <c r="D31" s="3" t="s">
        <v>41</v>
      </c>
      <c r="E31" s="1">
        <v>96</v>
      </c>
      <c r="F31" s="1">
        <v>96</v>
      </c>
      <c r="G31" t="s">
        <v>88</v>
      </c>
      <c r="H31" s="7">
        <v>0</v>
      </c>
      <c r="I31" s="7">
        <v>46</v>
      </c>
      <c r="U31" s="7">
        <v>58</v>
      </c>
      <c r="AA31" s="7">
        <f>SUM(H31:Z31)</f>
        <v>104</v>
      </c>
      <c r="AD31" s="20">
        <v>18409.920000000002</v>
      </c>
      <c r="AE31" s="19">
        <f>Table8[[#This Row],[Total horas DME]]-Table8[[#This Row],[Horas sem Conversão]]</f>
        <v>8</v>
      </c>
    </row>
    <row r="32" spans="1:31" hidden="1">
      <c r="A32" s="2">
        <v>46050</v>
      </c>
      <c r="B32" s="1">
        <v>8000067043</v>
      </c>
      <c r="C32" s="3" t="s">
        <v>92</v>
      </c>
      <c r="D32" s="3" t="s">
        <v>41</v>
      </c>
      <c r="E32" s="1" t="s">
        <v>44</v>
      </c>
      <c r="F32" s="1" t="s">
        <v>44</v>
      </c>
      <c r="G32" s="1" t="s">
        <v>44</v>
      </c>
      <c r="H32" s="1"/>
      <c r="I32" s="1"/>
      <c r="J32" s="18"/>
      <c r="K32" s="1"/>
      <c r="L32" s="1"/>
      <c r="M32" s="1"/>
      <c r="N32" s="1"/>
      <c r="O32" s="1"/>
      <c r="P32" s="1"/>
      <c r="Q32" s="1"/>
      <c r="R32" s="1"/>
      <c r="S32" s="1"/>
      <c r="T32" s="18"/>
      <c r="U32" s="18"/>
      <c r="V32" s="1"/>
      <c r="W32" s="1"/>
      <c r="X32" s="1"/>
      <c r="Y32" s="1"/>
      <c r="Z32" s="1"/>
      <c r="AA32" s="1"/>
      <c r="AB32" s="1"/>
      <c r="AC32" s="1"/>
      <c r="AD32" s="1"/>
      <c r="AE32" s="19"/>
    </row>
    <row r="33" spans="1:31" hidden="1">
      <c r="A33" s="2">
        <v>46164</v>
      </c>
      <c r="B33" s="1">
        <v>8000067076</v>
      </c>
      <c r="C33" s="3" t="s">
        <v>93</v>
      </c>
      <c r="D33" s="3" t="s">
        <v>94</v>
      </c>
      <c r="E33" s="1" t="s">
        <v>44</v>
      </c>
      <c r="F33" s="1" t="s">
        <v>44</v>
      </c>
      <c r="G33" s="1" t="s">
        <v>44</v>
      </c>
      <c r="H33" s="1"/>
      <c r="I33" s="1"/>
      <c r="J33" s="18"/>
      <c r="K33" s="1"/>
      <c r="L33" s="1"/>
      <c r="M33" s="1"/>
      <c r="N33" s="1"/>
      <c r="O33" s="1"/>
      <c r="P33" s="1"/>
      <c r="Q33" s="1"/>
      <c r="R33" s="1"/>
      <c r="S33" s="1"/>
      <c r="T33" s="18"/>
      <c r="U33" s="18"/>
      <c r="V33" s="1"/>
      <c r="W33" s="1"/>
      <c r="X33" s="1"/>
      <c r="Y33" s="1"/>
      <c r="Z33" s="1"/>
      <c r="AA33" s="1"/>
      <c r="AB33" s="1"/>
      <c r="AC33" s="1"/>
      <c r="AD33" s="1"/>
      <c r="AE33" s="19"/>
    </row>
    <row r="34" spans="1:31">
      <c r="A34" s="2">
        <v>46090</v>
      </c>
      <c r="B34" s="1">
        <v>8000067078</v>
      </c>
      <c r="C34" s="3" t="s">
        <v>95</v>
      </c>
      <c r="D34" s="3" t="s">
        <v>41</v>
      </c>
      <c r="E34" s="1">
        <v>160</v>
      </c>
      <c r="F34" s="1">
        <v>160</v>
      </c>
      <c r="G34" t="s">
        <v>96</v>
      </c>
      <c r="H34" s="7">
        <v>0</v>
      </c>
      <c r="T34" s="7">
        <v>78</v>
      </c>
      <c r="U34" s="7">
        <v>90</v>
      </c>
      <c r="AA34" s="7">
        <f t="shared" ref="AA34:AA35" si="1">SUM(H34:Z34)</f>
        <v>168</v>
      </c>
      <c r="AB34" s="10">
        <v>999999</v>
      </c>
      <c r="AD34" s="20">
        <v>30683.200000000001</v>
      </c>
      <c r="AE34" s="19">
        <f>Table8[[#This Row],[Total horas DME]]-Table8[[#This Row],[Horas sem Conversão]]</f>
        <v>8</v>
      </c>
    </row>
    <row r="35" spans="1:31">
      <c r="A35" s="2">
        <v>46030</v>
      </c>
      <c r="B35" s="1">
        <v>8000067135</v>
      </c>
      <c r="C35" s="3" t="s">
        <v>97</v>
      </c>
      <c r="D35" s="3" t="s">
        <v>41</v>
      </c>
      <c r="E35" s="1">
        <v>86</v>
      </c>
      <c r="F35" s="1">
        <v>86</v>
      </c>
      <c r="G35" t="s">
        <v>98</v>
      </c>
      <c r="H35" s="7">
        <v>36</v>
      </c>
      <c r="U35" s="7">
        <v>50</v>
      </c>
      <c r="AA35" s="7">
        <f t="shared" si="1"/>
        <v>86</v>
      </c>
      <c r="AB35" s="10">
        <v>56</v>
      </c>
      <c r="AD35" s="20">
        <v>16492.22</v>
      </c>
      <c r="AE35" s="19">
        <f>Table8[[#This Row],[Total horas DME]]-Table8[[#This Row],[Horas sem Conversão]]</f>
        <v>0</v>
      </c>
    </row>
    <row r="36" spans="1:31" hidden="1">
      <c r="A36" s="2">
        <v>46041</v>
      </c>
      <c r="B36" s="1">
        <v>8000067161</v>
      </c>
      <c r="C36" s="3" t="s">
        <v>99</v>
      </c>
      <c r="D36" s="3" t="s">
        <v>75</v>
      </c>
      <c r="E36" s="1" t="s">
        <v>44</v>
      </c>
      <c r="F36" s="1" t="s">
        <v>44</v>
      </c>
      <c r="G36" s="1" t="s">
        <v>44</v>
      </c>
      <c r="H36" s="1"/>
      <c r="I36" s="1"/>
      <c r="J36" s="18"/>
      <c r="K36" s="1"/>
      <c r="L36" s="1"/>
      <c r="M36" s="1"/>
      <c r="N36" s="1"/>
      <c r="O36" s="1"/>
      <c r="P36" s="1"/>
      <c r="Q36" s="1"/>
      <c r="R36" s="1"/>
      <c r="S36" s="1"/>
      <c r="T36" s="18"/>
      <c r="U36" s="18"/>
      <c r="V36" s="1"/>
      <c r="W36" s="1"/>
      <c r="X36" s="1"/>
      <c r="Y36" s="1"/>
      <c r="Z36" s="1"/>
      <c r="AA36" s="1"/>
      <c r="AB36" s="1"/>
      <c r="AC36" s="1"/>
      <c r="AD36" s="1"/>
      <c r="AE36" s="19"/>
    </row>
    <row r="37" spans="1:31" hidden="1">
      <c r="A37" s="2">
        <v>46024</v>
      </c>
      <c r="B37" s="1">
        <v>8000067180</v>
      </c>
      <c r="C37" s="3" t="s">
        <v>100</v>
      </c>
      <c r="D37" s="3" t="s">
        <v>41</v>
      </c>
      <c r="E37" s="1" t="s">
        <v>44</v>
      </c>
      <c r="F37" s="1" t="s">
        <v>44</v>
      </c>
      <c r="G37" s="1" t="s">
        <v>44</v>
      </c>
      <c r="H37" s="1"/>
      <c r="I37" s="1"/>
      <c r="J37" s="18"/>
      <c r="K37" s="1"/>
      <c r="L37" s="1"/>
      <c r="M37" s="1"/>
      <c r="N37" s="1"/>
      <c r="O37" s="1"/>
      <c r="P37" s="1"/>
      <c r="Q37" s="1"/>
      <c r="R37" s="1"/>
      <c r="S37" s="1"/>
      <c r="T37" s="18"/>
      <c r="U37" s="18"/>
      <c r="V37" s="1"/>
      <c r="W37" s="1"/>
      <c r="X37" s="1"/>
      <c r="Y37" s="1"/>
      <c r="Z37" s="1"/>
      <c r="AA37" s="1"/>
      <c r="AB37" s="1"/>
      <c r="AC37" s="1"/>
      <c r="AD37" s="1"/>
      <c r="AE37" s="19"/>
    </row>
    <row r="38" spans="1:31">
      <c r="A38" s="2">
        <v>46057</v>
      </c>
      <c r="B38" s="1">
        <v>8000067287</v>
      </c>
      <c r="C38" s="3" t="s">
        <v>101</v>
      </c>
      <c r="D38" s="3" t="s">
        <v>102</v>
      </c>
      <c r="E38" s="1">
        <v>17</v>
      </c>
      <c r="F38" s="1">
        <v>17</v>
      </c>
      <c r="G38" t="s">
        <v>103</v>
      </c>
      <c r="AA38" s="7">
        <f t="shared" ref="AA38:AA39" si="2">SUM(H38:Z38)</f>
        <v>0</v>
      </c>
      <c r="AE38" s="19">
        <f>Table8[[#This Row],[Total horas DME]]-Table8[[#This Row],[Horas sem Conversão]]</f>
        <v>-17</v>
      </c>
    </row>
    <row r="39" spans="1:31">
      <c r="A39" s="2">
        <v>46062</v>
      </c>
      <c r="B39" s="1">
        <v>8000067308</v>
      </c>
      <c r="C39" s="3" t="s">
        <v>104</v>
      </c>
      <c r="D39" s="3" t="s">
        <v>105</v>
      </c>
      <c r="E39" s="1">
        <v>68</v>
      </c>
      <c r="F39" s="1">
        <v>68</v>
      </c>
      <c r="G39" t="s">
        <v>106</v>
      </c>
      <c r="H39" s="7">
        <v>0</v>
      </c>
      <c r="T39" s="7">
        <v>30</v>
      </c>
      <c r="U39" s="7">
        <v>38</v>
      </c>
      <c r="AA39" s="7">
        <f t="shared" si="2"/>
        <v>68</v>
      </c>
      <c r="AC39" s="10">
        <v>20</v>
      </c>
      <c r="AD39" s="10">
        <v>16888.68</v>
      </c>
      <c r="AE39" s="19"/>
    </row>
    <row r="40" spans="1:31" hidden="1">
      <c r="A40" s="2">
        <v>46163</v>
      </c>
      <c r="B40" s="1">
        <v>8000067323</v>
      </c>
      <c r="C40" s="3" t="s">
        <v>107</v>
      </c>
      <c r="D40" s="3" t="s">
        <v>94</v>
      </c>
      <c r="E40" s="1" t="s">
        <v>44</v>
      </c>
      <c r="F40" s="1" t="s">
        <v>44</v>
      </c>
      <c r="G40" s="1" t="s">
        <v>44</v>
      </c>
      <c r="H40" s="1"/>
      <c r="I40" s="1"/>
      <c r="J40" s="18"/>
      <c r="K40" s="1"/>
      <c r="L40" s="1"/>
      <c r="M40" s="1"/>
      <c r="N40" s="1"/>
      <c r="O40" s="1"/>
      <c r="P40" s="1"/>
      <c r="Q40" s="1"/>
      <c r="R40" s="1"/>
      <c r="S40" s="1"/>
      <c r="T40" s="18"/>
      <c r="U40" s="18"/>
      <c r="V40" s="1"/>
      <c r="W40" s="1"/>
      <c r="X40" s="1"/>
      <c r="Y40" s="1"/>
      <c r="Z40" s="1"/>
      <c r="AA40" s="1"/>
      <c r="AB40" s="1"/>
      <c r="AC40" s="1"/>
      <c r="AD40" s="1"/>
      <c r="AE40" s="19"/>
    </row>
    <row r="41" spans="1:31" hidden="1">
      <c r="A41" s="2">
        <v>46062</v>
      </c>
      <c r="B41" s="1">
        <v>8000067328</v>
      </c>
      <c r="C41" s="3" t="s">
        <v>108</v>
      </c>
      <c r="D41" s="3" t="s">
        <v>79</v>
      </c>
      <c r="E41" s="1" t="s">
        <v>44</v>
      </c>
      <c r="F41" s="1" t="s">
        <v>44</v>
      </c>
      <c r="G41" s="1" t="s">
        <v>44</v>
      </c>
      <c r="H41" s="1"/>
      <c r="I41" s="1"/>
      <c r="J41" s="18"/>
      <c r="K41" s="1"/>
      <c r="L41" s="1"/>
      <c r="M41" s="1"/>
      <c r="N41" s="1"/>
      <c r="O41" s="1"/>
      <c r="P41" s="1"/>
      <c r="Q41" s="1"/>
      <c r="R41" s="1"/>
      <c r="S41" s="1"/>
      <c r="T41" s="18"/>
      <c r="U41" s="18"/>
      <c r="V41" s="1"/>
      <c r="W41" s="1"/>
      <c r="X41" s="1"/>
      <c r="Y41" s="1"/>
      <c r="Z41" s="1"/>
      <c r="AA41" s="1"/>
      <c r="AB41" s="1"/>
      <c r="AC41" s="1"/>
      <c r="AD41" s="1"/>
      <c r="AE41" s="19"/>
    </row>
    <row r="42" spans="1:31">
      <c r="A42" s="2">
        <v>46035</v>
      </c>
      <c r="B42" s="1">
        <v>8000067329</v>
      </c>
      <c r="C42" s="3" t="s">
        <v>109</v>
      </c>
      <c r="D42" s="3" t="s">
        <v>105</v>
      </c>
      <c r="E42" s="1">
        <v>92</v>
      </c>
      <c r="F42" s="1">
        <v>104.99</v>
      </c>
      <c r="G42" t="s">
        <v>110</v>
      </c>
      <c r="H42" s="7">
        <v>0</v>
      </c>
      <c r="I42" s="7">
        <v>46</v>
      </c>
      <c r="U42" s="7">
        <v>46</v>
      </c>
      <c r="AA42" s="7">
        <f t="shared" ref="AA42:AA45" si="3">SUM(H42:Z42)</f>
        <v>92</v>
      </c>
      <c r="AB42" s="10">
        <v>104.99</v>
      </c>
      <c r="AD42" s="10">
        <v>23096.6</v>
      </c>
      <c r="AE42" s="19"/>
    </row>
    <row r="43" spans="1:31">
      <c r="A43" s="2">
        <v>46077</v>
      </c>
      <c r="B43" s="1">
        <v>8000067346</v>
      </c>
      <c r="C43" s="3" t="s">
        <v>111</v>
      </c>
      <c r="D43" s="3" t="s">
        <v>105</v>
      </c>
      <c r="E43" s="1">
        <v>62</v>
      </c>
      <c r="F43" s="1">
        <v>62</v>
      </c>
      <c r="G43" t="s">
        <v>112</v>
      </c>
      <c r="H43" s="7">
        <v>0</v>
      </c>
      <c r="T43" s="7">
        <v>62</v>
      </c>
      <c r="AA43" s="7">
        <f t="shared" si="3"/>
        <v>62</v>
      </c>
      <c r="AC43" s="10">
        <v>20</v>
      </c>
      <c r="AD43" s="10">
        <v>16981.18</v>
      </c>
      <c r="AE43" s="19"/>
    </row>
    <row r="44" spans="1:31">
      <c r="A44" s="2">
        <v>46035</v>
      </c>
      <c r="B44" s="1">
        <v>8000067408</v>
      </c>
      <c r="C44" s="3" t="s">
        <v>113</v>
      </c>
      <c r="D44" s="3" t="s">
        <v>41</v>
      </c>
      <c r="E44" s="1">
        <v>57</v>
      </c>
      <c r="F44" s="1">
        <v>57</v>
      </c>
      <c r="G44" t="s">
        <v>114</v>
      </c>
      <c r="H44" s="7">
        <v>0</v>
      </c>
      <c r="T44" s="7">
        <v>36</v>
      </c>
      <c r="U44" s="7">
        <v>21</v>
      </c>
      <c r="AA44" s="7">
        <f t="shared" si="3"/>
        <v>57</v>
      </c>
      <c r="AD44" s="20">
        <v>10930.890000000001</v>
      </c>
      <c r="AE44" s="19"/>
    </row>
    <row r="45" spans="1:31">
      <c r="A45" s="2">
        <v>46043</v>
      </c>
      <c r="B45" s="1">
        <v>8000067426</v>
      </c>
      <c r="C45" s="3" t="s">
        <v>115</v>
      </c>
      <c r="D45" s="3" t="s">
        <v>41</v>
      </c>
      <c r="E45" s="1">
        <v>38</v>
      </c>
      <c r="F45" s="1">
        <v>38</v>
      </c>
      <c r="G45" t="s">
        <v>116</v>
      </c>
      <c r="AA45" s="7">
        <f t="shared" si="3"/>
        <v>0</v>
      </c>
      <c r="AD45" s="20">
        <v>7287.26</v>
      </c>
      <c r="AE45" s="19">
        <f>Table8[[#This Row],[Total horas DME]]-Table8[[#This Row],[Horas sem Conversão]]</f>
        <v>-38</v>
      </c>
    </row>
    <row r="46" spans="1:31" hidden="1">
      <c r="A46" s="2">
        <v>46044</v>
      </c>
      <c r="B46" s="1">
        <v>8000067447</v>
      </c>
      <c r="C46" s="3" t="s">
        <v>117</v>
      </c>
      <c r="D46" s="3" t="s">
        <v>62</v>
      </c>
      <c r="E46" s="1" t="s">
        <v>44</v>
      </c>
      <c r="F46" s="1" t="s">
        <v>44</v>
      </c>
      <c r="G46" s="1" t="s">
        <v>44</v>
      </c>
      <c r="H46" s="1"/>
      <c r="I46" s="1"/>
      <c r="J46" s="18"/>
      <c r="K46" s="1"/>
      <c r="L46" s="1"/>
      <c r="M46" s="1"/>
      <c r="N46" s="1"/>
      <c r="O46" s="1"/>
      <c r="P46" s="1"/>
      <c r="Q46" s="1"/>
      <c r="R46" s="1"/>
      <c r="S46" s="1"/>
      <c r="T46" s="18"/>
      <c r="U46" s="18"/>
      <c r="V46" s="1"/>
      <c r="W46" s="1"/>
      <c r="X46" s="1"/>
      <c r="Y46" s="1"/>
      <c r="Z46" s="1"/>
      <c r="AA46" s="1"/>
      <c r="AB46" s="1"/>
      <c r="AC46" s="1"/>
      <c r="AD46" s="1"/>
      <c r="AE46" s="19"/>
    </row>
    <row r="47" spans="1:31">
      <c r="A47" s="2">
        <v>46084</v>
      </c>
      <c r="B47" s="1">
        <v>8000067486</v>
      </c>
      <c r="C47" s="3" t="s">
        <v>118</v>
      </c>
      <c r="D47" s="3" t="s">
        <v>41</v>
      </c>
      <c r="E47" s="1">
        <v>44</v>
      </c>
      <c r="F47" s="1">
        <v>44</v>
      </c>
      <c r="G47" t="s">
        <v>119</v>
      </c>
      <c r="H47" s="7">
        <v>0</v>
      </c>
      <c r="M47" s="7">
        <v>18</v>
      </c>
      <c r="Z47" s="7">
        <v>32</v>
      </c>
      <c r="AA47" s="7">
        <f>SUM(H47:Z47)</f>
        <v>50</v>
      </c>
      <c r="AD47" s="20">
        <v>8437.880000000001</v>
      </c>
      <c r="AE47" s="19">
        <f>Table8[[#This Row],[Total horas DME]]-Table8[[#This Row],[Horas sem Conversão]]</f>
        <v>6</v>
      </c>
    </row>
    <row r="48" spans="1:31">
      <c r="A48" s="2">
        <v>46069</v>
      </c>
      <c r="B48" s="1">
        <v>8000067563</v>
      </c>
      <c r="C48" s="3" t="s">
        <v>120</v>
      </c>
      <c r="D48" s="3" t="s">
        <v>105</v>
      </c>
      <c r="E48" s="1">
        <v>160</v>
      </c>
      <c r="F48" s="1">
        <v>160</v>
      </c>
      <c r="G48" t="s">
        <v>121</v>
      </c>
      <c r="H48" s="7">
        <v>0</v>
      </c>
      <c r="T48" s="7">
        <v>78</v>
      </c>
      <c r="U48" s="7">
        <v>82</v>
      </c>
      <c r="AA48" s="7">
        <f>SUM(H48:Z48)</f>
        <v>160</v>
      </c>
      <c r="AC48" s="10">
        <v>49</v>
      </c>
      <c r="AD48" s="10">
        <v>42929.3</v>
      </c>
      <c r="AE48" s="19"/>
    </row>
    <row r="49" spans="1:31">
      <c r="A49" s="2">
        <v>46079</v>
      </c>
      <c r="B49" s="1">
        <v>8000067568</v>
      </c>
      <c r="C49" s="3" t="s">
        <v>122</v>
      </c>
      <c r="D49" s="3" t="s">
        <v>41</v>
      </c>
      <c r="E49" s="1">
        <v>72</v>
      </c>
      <c r="F49" s="1">
        <v>72</v>
      </c>
      <c r="G49" t="s">
        <v>123</v>
      </c>
      <c r="H49" s="7">
        <v>0</v>
      </c>
      <c r="T49" s="7">
        <v>40</v>
      </c>
      <c r="U49" s="7">
        <v>32</v>
      </c>
      <c r="AA49" s="7">
        <f>SUM(H49:Z49)</f>
        <v>72</v>
      </c>
      <c r="AB49" s="10">
        <v>999999</v>
      </c>
      <c r="AD49" s="20">
        <v>13807.44</v>
      </c>
      <c r="AE49" s="19"/>
    </row>
    <row r="50" spans="1:31">
      <c r="A50" s="2">
        <v>46086</v>
      </c>
      <c r="B50" s="1">
        <v>8000067569</v>
      </c>
      <c r="C50" s="3" t="s">
        <v>124</v>
      </c>
      <c r="D50" s="3" t="s">
        <v>41</v>
      </c>
      <c r="E50" s="1">
        <v>59</v>
      </c>
      <c r="F50" s="1">
        <v>59</v>
      </c>
      <c r="G50" t="s">
        <v>125</v>
      </c>
      <c r="H50" s="7">
        <v>0</v>
      </c>
      <c r="T50" s="7">
        <v>30</v>
      </c>
      <c r="U50" s="7">
        <v>30</v>
      </c>
      <c r="AA50" s="7">
        <f>SUM(H50:Z50)</f>
        <v>60</v>
      </c>
      <c r="AB50" s="10">
        <v>999999</v>
      </c>
      <c r="AD50" s="20">
        <v>11314.43</v>
      </c>
      <c r="AE50" s="19">
        <f>Table8[[#This Row],[Total horas DME]]-Table8[[#This Row],[Horas sem Conversão]]</f>
        <v>1</v>
      </c>
    </row>
    <row r="51" spans="1:31" hidden="1">
      <c r="A51" s="2">
        <v>46044</v>
      </c>
      <c r="B51" s="1">
        <v>8000067581</v>
      </c>
      <c r="C51" s="3" t="s">
        <v>126</v>
      </c>
      <c r="D51" s="3" t="s">
        <v>105</v>
      </c>
      <c r="E51" s="1" t="s">
        <v>44</v>
      </c>
      <c r="F51" s="1" t="s">
        <v>44</v>
      </c>
      <c r="G51" s="1" t="s">
        <v>44</v>
      </c>
      <c r="H51" s="1"/>
      <c r="I51" s="1"/>
      <c r="J51" s="18"/>
      <c r="K51" s="1"/>
      <c r="L51" s="1"/>
      <c r="M51" s="1"/>
      <c r="N51" s="1"/>
      <c r="O51" s="1"/>
      <c r="P51" s="1"/>
      <c r="Q51" s="1"/>
      <c r="R51" s="1"/>
      <c r="S51" s="1"/>
      <c r="T51" s="18"/>
      <c r="U51" s="18"/>
      <c r="V51" s="1"/>
      <c r="W51" s="1"/>
      <c r="X51" s="1"/>
      <c r="Y51" s="1"/>
      <c r="Z51" s="1"/>
      <c r="AA51" s="1"/>
      <c r="AB51" s="1"/>
      <c r="AC51" s="1"/>
      <c r="AD51" s="1"/>
      <c r="AE51" s="19"/>
    </row>
    <row r="52" spans="1:31">
      <c r="A52" s="2">
        <v>46065</v>
      </c>
      <c r="B52" s="1">
        <v>8000067597</v>
      </c>
      <c r="C52" s="3" t="s">
        <v>127</v>
      </c>
      <c r="D52" s="3" t="s">
        <v>41</v>
      </c>
      <c r="E52" s="1">
        <v>188</v>
      </c>
      <c r="F52" s="1">
        <v>188</v>
      </c>
      <c r="G52" t="s">
        <v>128</v>
      </c>
      <c r="H52" s="7">
        <v>0</v>
      </c>
      <c r="N52" s="7">
        <v>102</v>
      </c>
      <c r="U52" s="7">
        <v>86</v>
      </c>
      <c r="AA52" s="7">
        <f t="shared" ref="AA52:AA55" si="4">SUM(H52:Z52)</f>
        <v>188</v>
      </c>
      <c r="AD52" s="20">
        <v>36052.76</v>
      </c>
      <c r="AE52" s="19"/>
    </row>
    <row r="53" spans="1:31">
      <c r="A53" s="2">
        <v>46042</v>
      </c>
      <c r="B53" s="1">
        <v>8000067608</v>
      </c>
      <c r="C53" s="3" t="s">
        <v>129</v>
      </c>
      <c r="D53" s="3" t="s">
        <v>62</v>
      </c>
      <c r="E53" s="1">
        <v>102</v>
      </c>
      <c r="F53" s="1">
        <v>102</v>
      </c>
      <c r="G53" t="s">
        <v>130</v>
      </c>
      <c r="H53" s="7">
        <v>0</v>
      </c>
      <c r="K53" s="7">
        <v>54</v>
      </c>
      <c r="U53" s="7">
        <v>48</v>
      </c>
      <c r="AA53" s="7">
        <f t="shared" si="4"/>
        <v>102</v>
      </c>
      <c r="AB53" s="10">
        <v>133.46</v>
      </c>
      <c r="AD53" s="10">
        <v>24466.32</v>
      </c>
      <c r="AE53" s="19"/>
    </row>
    <row r="54" spans="1:31">
      <c r="A54" s="2">
        <v>46106</v>
      </c>
      <c r="B54" s="1">
        <v>8000067617</v>
      </c>
      <c r="C54" s="3" t="s">
        <v>131</v>
      </c>
      <c r="D54" s="3" t="s">
        <v>41</v>
      </c>
      <c r="E54" s="1">
        <v>78</v>
      </c>
      <c r="F54" s="1">
        <v>78</v>
      </c>
      <c r="G54" t="s">
        <v>132</v>
      </c>
      <c r="H54" s="7">
        <v>0</v>
      </c>
      <c r="T54" s="7">
        <v>45</v>
      </c>
      <c r="U54" s="7">
        <v>33</v>
      </c>
      <c r="AA54" s="7">
        <f t="shared" si="4"/>
        <v>78</v>
      </c>
      <c r="AB54" s="10">
        <v>999999</v>
      </c>
      <c r="AD54" s="20">
        <v>14958.060000000001</v>
      </c>
      <c r="AE54" s="19"/>
    </row>
    <row r="55" spans="1:31">
      <c r="A55" s="2">
        <v>46064</v>
      </c>
      <c r="B55" s="1">
        <v>8000067623</v>
      </c>
      <c r="C55" s="3" t="s">
        <v>133</v>
      </c>
      <c r="D55" s="3" t="s">
        <v>41</v>
      </c>
      <c r="E55" s="1">
        <v>90</v>
      </c>
      <c r="F55" s="1">
        <v>90</v>
      </c>
      <c r="G55" t="s">
        <v>134</v>
      </c>
      <c r="H55" s="7">
        <v>0</v>
      </c>
      <c r="I55" s="7">
        <v>32</v>
      </c>
      <c r="U55" s="7">
        <v>42</v>
      </c>
      <c r="Y55" s="7">
        <v>20</v>
      </c>
      <c r="AA55" s="7">
        <f t="shared" si="4"/>
        <v>94</v>
      </c>
      <c r="AD55" s="20">
        <v>17259.3</v>
      </c>
      <c r="AE55" s="19">
        <f>Table8[[#This Row],[Total horas DME]]-Table8[[#This Row],[Horas sem Conversão]]</f>
        <v>4</v>
      </c>
    </row>
    <row r="56" spans="1:31" hidden="1">
      <c r="A56" s="2">
        <v>46066</v>
      </c>
      <c r="B56" s="1">
        <v>8000067656</v>
      </c>
      <c r="C56" s="3" t="s">
        <v>135</v>
      </c>
      <c r="D56" s="3" t="s">
        <v>136</v>
      </c>
      <c r="E56" s="1" t="s">
        <v>44</v>
      </c>
      <c r="F56" s="1" t="s">
        <v>44</v>
      </c>
      <c r="G56" s="1" t="s">
        <v>44</v>
      </c>
      <c r="H56" s="1"/>
      <c r="I56" s="1"/>
      <c r="J56" s="18"/>
      <c r="K56" s="1"/>
      <c r="L56" s="1"/>
      <c r="M56" s="1"/>
      <c r="N56" s="1"/>
      <c r="O56" s="1"/>
      <c r="P56" s="1"/>
      <c r="Q56" s="1"/>
      <c r="R56" s="1"/>
      <c r="S56" s="1"/>
      <c r="T56" s="18"/>
      <c r="U56" s="18"/>
      <c r="V56" s="1"/>
      <c r="W56" s="1"/>
      <c r="X56" s="1"/>
      <c r="Y56" s="1"/>
      <c r="Z56" s="1"/>
      <c r="AA56" s="1"/>
      <c r="AB56" s="1"/>
      <c r="AC56" s="1"/>
      <c r="AD56" s="1"/>
      <c r="AE56" s="19"/>
    </row>
    <row r="57" spans="1:31" hidden="1">
      <c r="A57" s="2">
        <v>46069</v>
      </c>
      <c r="B57" s="1">
        <v>8000067657</v>
      </c>
      <c r="C57" s="3" t="s">
        <v>137</v>
      </c>
      <c r="D57" s="3" t="s">
        <v>138</v>
      </c>
      <c r="E57" s="1" t="s">
        <v>44</v>
      </c>
      <c r="F57" s="1" t="s">
        <v>44</v>
      </c>
      <c r="G57" s="1" t="s">
        <v>44</v>
      </c>
      <c r="H57" s="1"/>
      <c r="I57" s="1"/>
      <c r="J57" s="18"/>
      <c r="K57" s="1"/>
      <c r="L57" s="1"/>
      <c r="M57" s="1"/>
      <c r="N57" s="1"/>
      <c r="O57" s="1"/>
      <c r="P57" s="1"/>
      <c r="Q57" s="1"/>
      <c r="R57" s="1"/>
      <c r="S57" s="1"/>
      <c r="T57" s="18"/>
      <c r="U57" s="18"/>
      <c r="V57" s="1"/>
      <c r="W57" s="1"/>
      <c r="X57" s="1"/>
      <c r="Y57" s="1"/>
      <c r="Z57" s="1"/>
      <c r="AA57" s="1"/>
      <c r="AB57" s="1"/>
      <c r="AC57" s="1"/>
      <c r="AD57" s="1"/>
      <c r="AE57" s="19"/>
    </row>
    <row r="58" spans="1:31" hidden="1">
      <c r="A58" s="2">
        <v>46069</v>
      </c>
      <c r="B58" s="1">
        <v>8000067661</v>
      </c>
      <c r="C58" s="3" t="s">
        <v>139</v>
      </c>
      <c r="D58" s="3" t="s">
        <v>138</v>
      </c>
      <c r="E58" s="1" t="s">
        <v>44</v>
      </c>
      <c r="F58" s="1" t="s">
        <v>44</v>
      </c>
      <c r="G58" s="1" t="s">
        <v>44</v>
      </c>
      <c r="H58" s="1"/>
      <c r="I58" s="1"/>
      <c r="J58" s="18"/>
      <c r="K58" s="1"/>
      <c r="L58" s="1"/>
      <c r="M58" s="1"/>
      <c r="N58" s="1"/>
      <c r="O58" s="1"/>
      <c r="P58" s="1"/>
      <c r="Q58" s="1"/>
      <c r="R58" s="1"/>
      <c r="S58" s="1"/>
      <c r="T58" s="18"/>
      <c r="U58" s="18"/>
      <c r="V58" s="1"/>
      <c r="W58" s="1"/>
      <c r="X58" s="1"/>
      <c r="Y58" s="1"/>
      <c r="Z58" s="1"/>
      <c r="AA58" s="1"/>
      <c r="AB58" s="1"/>
      <c r="AC58" s="1"/>
      <c r="AD58" s="1"/>
      <c r="AE58" s="19"/>
    </row>
    <row r="59" spans="1:31" hidden="1">
      <c r="A59" s="2">
        <v>46069</v>
      </c>
      <c r="B59" s="1">
        <v>8000067664</v>
      </c>
      <c r="C59" s="3" t="s">
        <v>140</v>
      </c>
      <c r="D59" s="3" t="s">
        <v>138</v>
      </c>
      <c r="E59" s="1" t="s">
        <v>44</v>
      </c>
      <c r="F59" s="1" t="s">
        <v>44</v>
      </c>
      <c r="G59" s="1" t="s">
        <v>44</v>
      </c>
      <c r="H59" s="1"/>
      <c r="I59" s="1"/>
      <c r="J59" s="18"/>
      <c r="K59" s="1"/>
      <c r="L59" s="1"/>
      <c r="M59" s="1"/>
      <c r="N59" s="1"/>
      <c r="O59" s="1"/>
      <c r="P59" s="1"/>
      <c r="Q59" s="1"/>
      <c r="R59" s="1"/>
      <c r="S59" s="1"/>
      <c r="T59" s="18"/>
      <c r="U59" s="18"/>
      <c r="V59" s="1"/>
      <c r="W59" s="1"/>
      <c r="X59" s="1"/>
      <c r="Y59" s="1"/>
      <c r="Z59" s="1"/>
      <c r="AA59" s="1"/>
      <c r="AB59" s="1"/>
      <c r="AC59" s="1"/>
      <c r="AD59" s="1"/>
      <c r="AE59" s="19"/>
    </row>
    <row r="60" spans="1:31">
      <c r="A60" s="2">
        <v>46069</v>
      </c>
      <c r="B60" s="1">
        <v>8000067694</v>
      </c>
      <c r="C60" s="3" t="s">
        <v>141</v>
      </c>
      <c r="D60" s="3" t="s">
        <v>105</v>
      </c>
      <c r="E60" s="1">
        <v>152</v>
      </c>
      <c r="F60" s="1">
        <v>152</v>
      </c>
      <c r="G60" t="s">
        <v>121</v>
      </c>
      <c r="H60" s="7">
        <v>0</v>
      </c>
      <c r="T60" s="7">
        <v>58</v>
      </c>
      <c r="U60" s="7">
        <v>94</v>
      </c>
      <c r="AA60" s="7">
        <f>SUM(H60:Z60)</f>
        <v>152</v>
      </c>
      <c r="AC60" s="10">
        <v>43</v>
      </c>
      <c r="AD60" s="10">
        <v>37337.360000000001</v>
      </c>
      <c r="AE60" s="19"/>
    </row>
    <row r="61" spans="1:31" hidden="1">
      <c r="A61" s="2">
        <v>46090</v>
      </c>
      <c r="B61" s="1">
        <v>8000067707</v>
      </c>
      <c r="C61" s="3" t="s">
        <v>142</v>
      </c>
      <c r="D61" s="3" t="s">
        <v>105</v>
      </c>
      <c r="E61" s="1" t="s">
        <v>44</v>
      </c>
      <c r="F61" s="1" t="s">
        <v>44</v>
      </c>
      <c r="G61" s="1" t="s">
        <v>44</v>
      </c>
      <c r="H61" s="1"/>
      <c r="I61" s="1"/>
      <c r="J61" s="18"/>
      <c r="K61" s="1"/>
      <c r="L61" s="1"/>
      <c r="M61" s="1"/>
      <c r="N61" s="1"/>
      <c r="O61" s="1"/>
      <c r="P61" s="1"/>
      <c r="Q61" s="1"/>
      <c r="R61" s="1"/>
      <c r="S61" s="1"/>
      <c r="T61" s="18"/>
      <c r="U61" s="18"/>
      <c r="V61" s="1"/>
      <c r="W61" s="1"/>
      <c r="X61" s="1"/>
      <c r="Y61" s="1"/>
      <c r="Z61" s="1"/>
      <c r="AA61" s="1"/>
      <c r="AB61" s="1"/>
      <c r="AC61" s="1"/>
      <c r="AD61" s="1"/>
      <c r="AE61" s="19"/>
    </row>
    <row r="62" spans="1:31">
      <c r="A62" s="2">
        <v>46069</v>
      </c>
      <c r="B62" s="1">
        <v>8000067712</v>
      </c>
      <c r="C62" s="3" t="s">
        <v>143</v>
      </c>
      <c r="D62" s="3" t="s">
        <v>144</v>
      </c>
      <c r="E62" s="1">
        <v>21</v>
      </c>
      <c r="F62" s="1">
        <v>32.01</v>
      </c>
      <c r="G62" t="s">
        <v>145</v>
      </c>
      <c r="H62" s="7">
        <v>0</v>
      </c>
      <c r="K62" s="7">
        <v>10</v>
      </c>
      <c r="U62" s="7">
        <v>11</v>
      </c>
      <c r="AA62" s="7">
        <f>SUM(H62:Z62)</f>
        <v>21</v>
      </c>
      <c r="AB62" s="10">
        <v>32.01</v>
      </c>
      <c r="AD62" s="10">
        <v>5761.09</v>
      </c>
      <c r="AE62" s="19"/>
    </row>
    <row r="63" spans="1:31" hidden="1">
      <c r="A63" s="2">
        <v>46069</v>
      </c>
      <c r="B63" s="1">
        <v>8000067725</v>
      </c>
      <c r="C63" s="3" t="s">
        <v>146</v>
      </c>
      <c r="D63" s="3" t="s">
        <v>105</v>
      </c>
      <c r="E63" s="1" t="s">
        <v>44</v>
      </c>
      <c r="F63" s="1" t="s">
        <v>44</v>
      </c>
      <c r="G63" s="1" t="s">
        <v>44</v>
      </c>
      <c r="H63" s="1"/>
      <c r="I63" s="1"/>
      <c r="J63" s="18"/>
      <c r="K63" s="1"/>
      <c r="L63" s="1"/>
      <c r="M63" s="1"/>
      <c r="N63" s="1"/>
      <c r="O63" s="1"/>
      <c r="P63" s="1"/>
      <c r="Q63" s="1"/>
      <c r="R63" s="1"/>
      <c r="S63" s="1"/>
      <c r="T63" s="18"/>
      <c r="U63" s="18"/>
      <c r="V63" s="1"/>
      <c r="W63" s="1"/>
      <c r="X63" s="1"/>
      <c r="Y63" s="1"/>
      <c r="Z63" s="1"/>
      <c r="AA63" s="1"/>
      <c r="AB63" s="1"/>
      <c r="AC63" s="1"/>
      <c r="AD63" s="1"/>
      <c r="AE63" s="19"/>
    </row>
    <row r="64" spans="1:31">
      <c r="A64" s="2">
        <v>46069</v>
      </c>
      <c r="B64" s="1">
        <v>8000067727</v>
      </c>
      <c r="C64" s="3" t="s">
        <v>147</v>
      </c>
      <c r="D64" s="3" t="s">
        <v>105</v>
      </c>
      <c r="E64" s="1">
        <v>218</v>
      </c>
      <c r="F64" s="1">
        <v>218</v>
      </c>
      <c r="G64" t="s">
        <v>148</v>
      </c>
      <c r="H64" s="7">
        <v>0</v>
      </c>
      <c r="T64" s="7">
        <v>120</v>
      </c>
      <c r="U64" s="7">
        <v>98</v>
      </c>
      <c r="AA64" s="7">
        <f t="shared" ref="AA64:AA66" si="5">SUM(H64:Z64)</f>
        <v>218</v>
      </c>
      <c r="AC64" s="10">
        <v>63</v>
      </c>
      <c r="AD64" s="10">
        <v>55505.22</v>
      </c>
      <c r="AE64" s="19"/>
    </row>
    <row r="65" spans="1:31">
      <c r="A65" s="2">
        <v>46093</v>
      </c>
      <c r="B65" s="1">
        <v>8000067746</v>
      </c>
      <c r="C65" s="3" t="s">
        <v>149</v>
      </c>
      <c r="D65" s="3" t="s">
        <v>105</v>
      </c>
      <c r="E65" s="1">
        <v>130</v>
      </c>
      <c r="F65" s="1">
        <v>130</v>
      </c>
      <c r="G65" t="s">
        <v>150</v>
      </c>
      <c r="H65" s="7">
        <v>0</v>
      </c>
      <c r="T65" s="7">
        <v>90</v>
      </c>
      <c r="U65" s="7">
        <v>40</v>
      </c>
      <c r="AA65" s="7">
        <f t="shared" si="5"/>
        <v>130</v>
      </c>
      <c r="AC65" s="10">
        <v>40</v>
      </c>
      <c r="AD65" s="10">
        <v>35147.699999999997</v>
      </c>
      <c r="AE65" s="19"/>
    </row>
    <row r="66" spans="1:31">
      <c r="A66" s="2">
        <v>46064</v>
      </c>
      <c r="B66" s="1">
        <v>8000067752</v>
      </c>
      <c r="C66" s="3" t="s">
        <v>151</v>
      </c>
      <c r="D66" s="3" t="s">
        <v>105</v>
      </c>
      <c r="E66" s="1">
        <v>116</v>
      </c>
      <c r="F66" s="1">
        <v>116</v>
      </c>
      <c r="G66" t="s">
        <v>152</v>
      </c>
      <c r="H66" s="7">
        <v>0</v>
      </c>
      <c r="T66" s="7">
        <v>44</v>
      </c>
      <c r="U66" s="7">
        <v>72</v>
      </c>
      <c r="AA66" s="7">
        <f t="shared" si="5"/>
        <v>116</v>
      </c>
      <c r="AC66" s="10">
        <v>33</v>
      </c>
      <c r="AD66" s="10">
        <v>28664.639999999999</v>
      </c>
      <c r="AE66" s="19"/>
    </row>
    <row r="67" spans="1:31" hidden="1">
      <c r="A67" s="2">
        <v>46052</v>
      </c>
      <c r="B67" s="1">
        <v>8000067783</v>
      </c>
      <c r="C67" s="3" t="s">
        <v>153</v>
      </c>
      <c r="D67" s="3" t="s">
        <v>154</v>
      </c>
      <c r="E67" s="1" t="s">
        <v>44</v>
      </c>
      <c r="F67" s="1" t="s">
        <v>44</v>
      </c>
      <c r="G67" s="1" t="s">
        <v>44</v>
      </c>
      <c r="H67" s="1"/>
      <c r="I67" s="1"/>
      <c r="J67" s="18"/>
      <c r="K67" s="1"/>
      <c r="L67" s="1"/>
      <c r="M67" s="1"/>
      <c r="N67" s="1"/>
      <c r="O67" s="1"/>
      <c r="P67" s="1"/>
      <c r="Q67" s="1"/>
      <c r="R67" s="1"/>
      <c r="S67" s="1"/>
      <c r="T67" s="18"/>
      <c r="U67" s="18"/>
      <c r="V67" s="1"/>
      <c r="W67" s="1"/>
      <c r="X67" s="1"/>
      <c r="Y67" s="1"/>
      <c r="Z67" s="1"/>
      <c r="AA67" s="1"/>
      <c r="AB67" s="1"/>
      <c r="AC67" s="1"/>
      <c r="AD67" s="1"/>
      <c r="AE67" s="19"/>
    </row>
    <row r="68" spans="1:31">
      <c r="A68" s="2">
        <v>46066</v>
      </c>
      <c r="B68" s="1">
        <v>8000067817</v>
      </c>
      <c r="C68" s="3" t="s">
        <v>155</v>
      </c>
      <c r="D68" s="3" t="s">
        <v>41</v>
      </c>
      <c r="E68" s="1">
        <v>92</v>
      </c>
      <c r="F68" s="1">
        <v>92</v>
      </c>
      <c r="G68" t="s">
        <v>156</v>
      </c>
      <c r="H68" s="7">
        <v>0</v>
      </c>
      <c r="T68" s="7">
        <v>50</v>
      </c>
      <c r="U68" s="7">
        <v>42</v>
      </c>
      <c r="AA68" s="7">
        <f>SUM(H68:Z68)</f>
        <v>92</v>
      </c>
      <c r="AB68" s="10">
        <v>999999</v>
      </c>
      <c r="AD68" s="20">
        <v>17642.84</v>
      </c>
      <c r="AE68" s="19"/>
    </row>
    <row r="69" spans="1:31" hidden="1">
      <c r="A69" s="2">
        <v>46064</v>
      </c>
      <c r="B69" s="1">
        <v>8000067850</v>
      </c>
      <c r="C69" s="3" t="s">
        <v>157</v>
      </c>
      <c r="D69" s="3" t="s">
        <v>158</v>
      </c>
      <c r="E69" s="1" t="s">
        <v>44</v>
      </c>
      <c r="F69" s="1" t="s">
        <v>44</v>
      </c>
      <c r="G69" s="1" t="s">
        <v>44</v>
      </c>
      <c r="H69" s="1"/>
      <c r="I69" s="1"/>
      <c r="J69" s="18"/>
      <c r="K69" s="1"/>
      <c r="L69" s="1"/>
      <c r="M69" s="1"/>
      <c r="N69" s="1"/>
      <c r="O69" s="1"/>
      <c r="P69" s="1"/>
      <c r="Q69" s="1"/>
      <c r="R69" s="1"/>
      <c r="S69" s="1"/>
      <c r="T69" s="18"/>
      <c r="U69" s="18"/>
      <c r="V69" s="1"/>
      <c r="W69" s="1"/>
      <c r="X69" s="1"/>
      <c r="Y69" s="1"/>
      <c r="Z69" s="1"/>
      <c r="AA69" s="1"/>
      <c r="AB69" s="1"/>
      <c r="AC69" s="1"/>
      <c r="AD69" s="1"/>
      <c r="AE69" s="19"/>
    </row>
    <row r="70" spans="1:31">
      <c r="A70" s="2">
        <v>46072</v>
      </c>
      <c r="B70" s="1">
        <v>8000067862</v>
      </c>
      <c r="C70" s="3" t="s">
        <v>159</v>
      </c>
      <c r="D70" s="3" t="s">
        <v>41</v>
      </c>
      <c r="E70" s="1">
        <v>96.57</v>
      </c>
      <c r="F70" s="1">
        <v>96.57</v>
      </c>
      <c r="G70" t="s">
        <v>160</v>
      </c>
      <c r="H70" s="7">
        <v>0</v>
      </c>
      <c r="T70" s="7">
        <v>102</v>
      </c>
      <c r="AA70" s="7">
        <f t="shared" ref="AA70:AA75" si="6">SUM(H70:Z70)</f>
        <v>102</v>
      </c>
      <c r="AB70" s="10">
        <v>999999</v>
      </c>
      <c r="AD70" s="20">
        <v>18519.228899999998</v>
      </c>
      <c r="AE70" s="19">
        <f>Table8[[#This Row],[Total horas DME]]-Table8[[#This Row],[Horas sem Conversão]]</f>
        <v>5.4300000000000068</v>
      </c>
    </row>
    <row r="71" spans="1:31">
      <c r="A71" s="2">
        <v>46066</v>
      </c>
      <c r="B71" s="1">
        <v>8000067890</v>
      </c>
      <c r="C71" s="3" t="s">
        <v>161</v>
      </c>
      <c r="D71" s="3" t="s">
        <v>162</v>
      </c>
      <c r="E71" s="1">
        <v>76</v>
      </c>
      <c r="F71" s="1">
        <v>108</v>
      </c>
      <c r="G71" t="s">
        <v>163</v>
      </c>
      <c r="H71" s="7">
        <v>0</v>
      </c>
      <c r="T71" s="7">
        <v>76</v>
      </c>
      <c r="AA71" s="7">
        <f t="shared" si="6"/>
        <v>76</v>
      </c>
      <c r="AB71" s="10">
        <v>120.39</v>
      </c>
      <c r="AD71" s="10">
        <v>22189.72</v>
      </c>
      <c r="AE71" s="19"/>
    </row>
    <row r="72" spans="1:31">
      <c r="A72" s="2">
        <v>46078</v>
      </c>
      <c r="B72" s="1">
        <v>8000067922</v>
      </c>
      <c r="C72" s="3" t="s">
        <v>164</v>
      </c>
      <c r="D72" s="3" t="s">
        <v>62</v>
      </c>
      <c r="E72" s="1">
        <v>62</v>
      </c>
      <c r="F72" s="1">
        <v>82.11</v>
      </c>
      <c r="G72" t="s">
        <v>165</v>
      </c>
      <c r="H72" s="7">
        <v>0</v>
      </c>
      <c r="T72" s="7">
        <v>10</v>
      </c>
      <c r="U72" s="7">
        <v>12</v>
      </c>
      <c r="AA72" s="7">
        <f t="shared" si="6"/>
        <v>22</v>
      </c>
      <c r="AB72" s="10">
        <v>28.39</v>
      </c>
      <c r="AD72" s="10">
        <v>5205.6000000000004</v>
      </c>
      <c r="AE72" s="19">
        <f>Table8[[#This Row],[Total horas DME]]-Table8[[#This Row],[Horas sem Conversão]]</f>
        <v>-40</v>
      </c>
    </row>
    <row r="73" spans="1:31">
      <c r="A73" s="2">
        <v>46064</v>
      </c>
      <c r="B73" s="1">
        <v>8000067933</v>
      </c>
      <c r="C73" s="3" t="s">
        <v>166</v>
      </c>
      <c r="D73" s="3" t="s">
        <v>105</v>
      </c>
      <c r="E73" s="1">
        <v>148</v>
      </c>
      <c r="F73" s="1">
        <v>148</v>
      </c>
      <c r="G73" t="s">
        <v>167</v>
      </c>
      <c r="H73" s="7">
        <v>0</v>
      </c>
      <c r="T73" s="7">
        <v>77</v>
      </c>
      <c r="U73" s="7">
        <v>71</v>
      </c>
      <c r="AA73" s="7">
        <f t="shared" si="6"/>
        <v>148</v>
      </c>
      <c r="AC73" s="10">
        <v>48.38</v>
      </c>
      <c r="AD73" s="10">
        <v>37292.44</v>
      </c>
      <c r="AE73" s="19"/>
    </row>
    <row r="74" spans="1:31">
      <c r="A74" s="2">
        <v>46069</v>
      </c>
      <c r="B74" s="1">
        <v>8000067937</v>
      </c>
      <c r="C74" s="3" t="s">
        <v>168</v>
      </c>
      <c r="D74" s="3" t="s">
        <v>105</v>
      </c>
      <c r="E74" s="1">
        <v>42</v>
      </c>
      <c r="F74" s="1">
        <v>42</v>
      </c>
      <c r="G74" t="s">
        <v>169</v>
      </c>
      <c r="H74" s="7">
        <v>0</v>
      </c>
      <c r="T74" s="7">
        <v>42</v>
      </c>
      <c r="AA74" s="7">
        <f t="shared" si="6"/>
        <v>42</v>
      </c>
      <c r="AC74" s="10">
        <v>13</v>
      </c>
      <c r="AD74" s="4">
        <v>11503.38</v>
      </c>
      <c r="AE74" s="19"/>
    </row>
    <row r="75" spans="1:31">
      <c r="A75" s="2">
        <v>46063</v>
      </c>
      <c r="B75" s="1">
        <v>8000067958</v>
      </c>
      <c r="C75" s="3" t="s">
        <v>170</v>
      </c>
      <c r="D75" s="3" t="s">
        <v>62</v>
      </c>
      <c r="E75" s="1">
        <v>124</v>
      </c>
      <c r="F75" s="1">
        <v>174.15</v>
      </c>
      <c r="G75" t="s">
        <v>171</v>
      </c>
      <c r="H75" s="7">
        <v>0</v>
      </c>
      <c r="T75" s="7">
        <v>116</v>
      </c>
      <c r="U75" s="7">
        <v>8</v>
      </c>
      <c r="AA75" s="7">
        <f t="shared" si="6"/>
        <v>124</v>
      </c>
      <c r="AB75" s="10">
        <v>174.15</v>
      </c>
      <c r="AD75" s="4">
        <v>31927.68</v>
      </c>
      <c r="AE75" s="19"/>
    </row>
    <row r="76" spans="1:31" hidden="1">
      <c r="A76" s="2">
        <v>46097</v>
      </c>
      <c r="B76" s="1">
        <v>8000068007</v>
      </c>
      <c r="C76" s="3" t="s">
        <v>172</v>
      </c>
      <c r="D76" s="3" t="s">
        <v>162</v>
      </c>
      <c r="E76" s="1" t="s">
        <v>44</v>
      </c>
      <c r="F76" s="1" t="s">
        <v>44</v>
      </c>
      <c r="G76" s="1" t="s">
        <v>44</v>
      </c>
      <c r="H76" s="1"/>
      <c r="I76" s="1"/>
      <c r="J76" s="18"/>
      <c r="K76" s="1"/>
      <c r="L76" s="1"/>
      <c r="M76" s="1"/>
      <c r="N76" s="1"/>
      <c r="O76" s="1"/>
      <c r="P76" s="1"/>
      <c r="Q76" s="1"/>
      <c r="R76" s="1"/>
      <c r="S76" s="1"/>
      <c r="T76" s="18"/>
      <c r="U76" s="18"/>
      <c r="V76" s="1"/>
      <c r="W76" s="1"/>
      <c r="X76" s="1"/>
      <c r="Y76" s="1"/>
      <c r="Z76" s="1"/>
      <c r="AA76" s="1"/>
      <c r="AB76" s="1"/>
      <c r="AC76" s="1"/>
      <c r="AD76" s="1"/>
      <c r="AE76" s="19"/>
    </row>
    <row r="77" spans="1:31" hidden="1">
      <c r="A77" s="2">
        <v>46108</v>
      </c>
      <c r="B77" s="1">
        <v>8000068010</v>
      </c>
      <c r="C77" s="3" t="s">
        <v>173</v>
      </c>
      <c r="D77" s="3" t="s">
        <v>62</v>
      </c>
      <c r="E77" s="1" t="s">
        <v>44</v>
      </c>
      <c r="F77" s="1" t="s">
        <v>44</v>
      </c>
      <c r="G77" s="1" t="s">
        <v>44</v>
      </c>
      <c r="H77" s="1"/>
      <c r="I77" s="1"/>
      <c r="J77" s="18"/>
      <c r="K77" s="1"/>
      <c r="L77" s="1"/>
      <c r="M77" s="1"/>
      <c r="N77" s="1"/>
      <c r="O77" s="1"/>
      <c r="P77" s="1"/>
      <c r="Q77" s="1"/>
      <c r="R77" s="1"/>
      <c r="S77" s="1"/>
      <c r="T77" s="18"/>
      <c r="U77" s="18"/>
      <c r="V77" s="1"/>
      <c r="W77" s="1"/>
      <c r="X77" s="1"/>
      <c r="Y77" s="1"/>
      <c r="Z77" s="1"/>
      <c r="AA77" s="1"/>
      <c r="AB77" s="1"/>
      <c r="AC77" s="1"/>
      <c r="AD77" s="1"/>
      <c r="AE77" s="19"/>
    </row>
    <row r="78" spans="1:31">
      <c r="A78" s="2">
        <v>46062</v>
      </c>
      <c r="B78" s="1">
        <v>8000068014</v>
      </c>
      <c r="C78" s="3" t="s">
        <v>174</v>
      </c>
      <c r="D78" s="3" t="s">
        <v>62</v>
      </c>
      <c r="E78" s="1">
        <v>104</v>
      </c>
      <c r="F78" s="1">
        <v>104</v>
      </c>
      <c r="G78" t="s">
        <v>175</v>
      </c>
      <c r="H78" s="7">
        <v>0</v>
      </c>
      <c r="T78" s="7">
        <v>46</v>
      </c>
      <c r="U78" s="7">
        <v>58</v>
      </c>
      <c r="AA78" s="7">
        <f>SUM(H78:Z78)</f>
        <v>104</v>
      </c>
      <c r="AB78" s="10">
        <v>113.93</v>
      </c>
      <c r="AD78" s="10">
        <v>24553.08</v>
      </c>
      <c r="AE78" s="19"/>
    </row>
    <row r="79" spans="1:31" hidden="1">
      <c r="A79" s="2">
        <v>46073</v>
      </c>
      <c r="B79" s="1">
        <v>8000068032</v>
      </c>
      <c r="C79" s="3" t="s">
        <v>176</v>
      </c>
      <c r="D79" s="3" t="s">
        <v>158</v>
      </c>
      <c r="E79" s="1" t="s">
        <v>44</v>
      </c>
      <c r="F79" s="1" t="s">
        <v>44</v>
      </c>
      <c r="G79" s="1" t="s">
        <v>44</v>
      </c>
      <c r="H79" s="1"/>
      <c r="I79" s="1"/>
      <c r="J79" s="18"/>
      <c r="K79" s="1"/>
      <c r="L79" s="1"/>
      <c r="M79" s="1"/>
      <c r="N79" s="1"/>
      <c r="O79" s="1"/>
      <c r="P79" s="1"/>
      <c r="Q79" s="1"/>
      <c r="R79" s="1"/>
      <c r="S79" s="1"/>
      <c r="T79" s="18"/>
      <c r="U79" s="18"/>
      <c r="V79" s="1"/>
      <c r="W79" s="1"/>
      <c r="X79" s="1"/>
      <c r="Y79" s="1"/>
      <c r="Z79" s="1"/>
      <c r="AA79" s="1"/>
      <c r="AB79" s="1"/>
      <c r="AC79" s="1"/>
      <c r="AD79" s="1"/>
      <c r="AE79" s="19"/>
    </row>
    <row r="80" spans="1:31">
      <c r="A80" s="2">
        <v>46058</v>
      </c>
      <c r="B80" s="1">
        <v>8000068121</v>
      </c>
      <c r="C80" s="3" t="s">
        <v>177</v>
      </c>
      <c r="D80" s="3" t="s">
        <v>41</v>
      </c>
      <c r="E80" s="1">
        <v>22</v>
      </c>
      <c r="F80" s="1">
        <v>22</v>
      </c>
      <c r="G80" t="s">
        <v>178</v>
      </c>
      <c r="H80" s="7">
        <v>0</v>
      </c>
      <c r="T80" s="7">
        <v>22</v>
      </c>
      <c r="AA80" s="7">
        <f t="shared" ref="AA80:AA81" si="7">SUM(H80:Z80)</f>
        <v>22</v>
      </c>
      <c r="AD80" s="20">
        <v>4218.9400000000005</v>
      </c>
      <c r="AE80" s="19"/>
    </row>
    <row r="81" spans="1:31">
      <c r="A81" s="2">
        <v>46099</v>
      </c>
      <c r="B81" s="1">
        <v>8000068129</v>
      </c>
      <c r="C81" s="3" t="s">
        <v>179</v>
      </c>
      <c r="D81" s="3" t="s">
        <v>41</v>
      </c>
      <c r="E81" s="1">
        <v>78</v>
      </c>
      <c r="F81" s="1">
        <v>78</v>
      </c>
      <c r="G81" t="s">
        <v>180</v>
      </c>
      <c r="H81" s="7">
        <v>0</v>
      </c>
      <c r="T81" s="7">
        <v>36</v>
      </c>
      <c r="U81" s="7">
        <v>42</v>
      </c>
      <c r="AA81" s="7">
        <f t="shared" si="7"/>
        <v>78</v>
      </c>
      <c r="AB81" s="10">
        <v>999999</v>
      </c>
      <c r="AD81" s="20">
        <v>14958.060000000001</v>
      </c>
      <c r="AE81" s="19"/>
    </row>
    <row r="82" spans="1:31" hidden="1">
      <c r="A82" s="2">
        <v>46085</v>
      </c>
      <c r="B82" s="1">
        <v>8000068167</v>
      </c>
      <c r="C82" s="3" t="s">
        <v>181</v>
      </c>
      <c r="D82" s="3" t="s">
        <v>138</v>
      </c>
      <c r="E82" s="1" t="s">
        <v>44</v>
      </c>
      <c r="F82" s="1" t="s">
        <v>44</v>
      </c>
      <c r="G82" s="1" t="s">
        <v>44</v>
      </c>
      <c r="H82" s="1"/>
      <c r="I82" s="1"/>
      <c r="J82" s="18"/>
      <c r="K82" s="1"/>
      <c r="L82" s="1"/>
      <c r="M82" s="1"/>
      <c r="N82" s="1"/>
      <c r="O82" s="1"/>
      <c r="P82" s="1"/>
      <c r="Q82" s="1"/>
      <c r="R82" s="1"/>
      <c r="S82" s="1"/>
      <c r="T82" s="18"/>
      <c r="U82" s="18"/>
      <c r="V82" s="1"/>
      <c r="W82" s="1"/>
      <c r="X82" s="1"/>
      <c r="Y82" s="1"/>
      <c r="Z82" s="1"/>
      <c r="AA82" s="1"/>
      <c r="AB82" s="1"/>
      <c r="AC82" s="1"/>
      <c r="AD82" s="1"/>
      <c r="AE82" s="19"/>
    </row>
    <row r="83" spans="1:31">
      <c r="A83" s="2">
        <v>46063</v>
      </c>
      <c r="B83" s="1">
        <v>8000068191</v>
      </c>
      <c r="C83" s="3" t="s">
        <v>182</v>
      </c>
      <c r="D83" s="3" t="s">
        <v>183</v>
      </c>
      <c r="E83" s="1">
        <v>36</v>
      </c>
      <c r="F83" s="1">
        <v>36</v>
      </c>
      <c r="G83" t="s">
        <v>184</v>
      </c>
      <c r="AA83" s="7">
        <f t="shared" ref="AA83:AA84" si="8">SUM(H83:Z83)</f>
        <v>0</v>
      </c>
      <c r="AE83" s="19">
        <f>Table8[[#This Row],[Total horas DME]]-Table8[[#This Row],[Horas sem Conversão]]</f>
        <v>-36</v>
      </c>
    </row>
    <row r="84" spans="1:31">
      <c r="A84" s="2">
        <v>46077</v>
      </c>
      <c r="B84" s="1">
        <v>8000068257</v>
      </c>
      <c r="C84" s="3" t="s">
        <v>185</v>
      </c>
      <c r="D84" s="3" t="s">
        <v>79</v>
      </c>
      <c r="E84" s="1">
        <v>43</v>
      </c>
      <c r="F84" s="1">
        <v>43</v>
      </c>
      <c r="G84" t="s">
        <v>186</v>
      </c>
      <c r="H84" s="7">
        <v>0</v>
      </c>
      <c r="O84" s="7">
        <v>17</v>
      </c>
      <c r="U84" s="7">
        <v>26</v>
      </c>
      <c r="AA84" s="7">
        <f t="shared" si="8"/>
        <v>43</v>
      </c>
      <c r="AB84" s="10">
        <v>60.78</v>
      </c>
      <c r="AD84" s="10">
        <v>10101.6</v>
      </c>
      <c r="AE84" s="19"/>
    </row>
    <row r="85" spans="1:31" hidden="1">
      <c r="A85" s="2">
        <v>46073</v>
      </c>
      <c r="B85" s="1">
        <v>8000068264</v>
      </c>
      <c r="C85" s="3" t="s">
        <v>187</v>
      </c>
      <c r="D85" s="3" t="s">
        <v>136</v>
      </c>
      <c r="E85" s="1" t="s">
        <v>44</v>
      </c>
      <c r="F85" s="1" t="s">
        <v>44</v>
      </c>
      <c r="G85" s="1" t="s">
        <v>44</v>
      </c>
      <c r="H85" s="1"/>
      <c r="I85" s="1"/>
      <c r="J85" s="18"/>
      <c r="K85" s="1"/>
      <c r="L85" s="1"/>
      <c r="M85" s="1"/>
      <c r="N85" s="1"/>
      <c r="O85" s="1"/>
      <c r="P85" s="1"/>
      <c r="Q85" s="1"/>
      <c r="R85" s="1"/>
      <c r="S85" s="1"/>
      <c r="T85" s="18"/>
      <c r="U85" s="18"/>
      <c r="V85" s="1"/>
      <c r="W85" s="1"/>
      <c r="X85" s="1"/>
      <c r="Y85" s="1"/>
      <c r="Z85" s="1"/>
      <c r="AA85" s="1"/>
      <c r="AB85" s="1"/>
      <c r="AC85" s="1"/>
      <c r="AD85" s="1"/>
      <c r="AE85" s="19"/>
    </row>
    <row r="86" spans="1:31">
      <c r="A86" s="2">
        <v>46085</v>
      </c>
      <c r="B86" s="1">
        <v>8000068352</v>
      </c>
      <c r="C86" s="3" t="s">
        <v>188</v>
      </c>
      <c r="D86" s="3" t="s">
        <v>105</v>
      </c>
      <c r="E86" s="1">
        <v>56</v>
      </c>
      <c r="F86" s="1">
        <v>56</v>
      </c>
      <c r="G86" t="s">
        <v>121</v>
      </c>
      <c r="H86" s="7">
        <v>0</v>
      </c>
      <c r="T86" s="7">
        <v>40</v>
      </c>
      <c r="U86" s="7">
        <v>16</v>
      </c>
      <c r="AA86" s="7">
        <f t="shared" ref="AA86:AA87" si="9">SUM(H86:Z86)</f>
        <v>56</v>
      </c>
      <c r="AC86" s="10">
        <v>17</v>
      </c>
      <c r="AD86" s="10">
        <v>14606.96</v>
      </c>
      <c r="AE86" s="19"/>
    </row>
    <row r="87" spans="1:31">
      <c r="A87" s="2">
        <v>46090</v>
      </c>
      <c r="B87" s="1">
        <v>8000068428</v>
      </c>
      <c r="C87" s="3" t="s">
        <v>189</v>
      </c>
      <c r="D87" s="3" t="s">
        <v>41</v>
      </c>
      <c r="E87" s="1">
        <v>122</v>
      </c>
      <c r="F87" s="1">
        <v>122</v>
      </c>
      <c r="G87" t="s">
        <v>190</v>
      </c>
      <c r="H87" s="7">
        <v>0</v>
      </c>
      <c r="T87" s="7">
        <v>50</v>
      </c>
      <c r="U87" s="7">
        <v>72</v>
      </c>
      <c r="AA87" s="7">
        <f t="shared" si="9"/>
        <v>122</v>
      </c>
      <c r="AB87" s="10">
        <v>999999</v>
      </c>
      <c r="AD87" s="20">
        <v>23395.940000000002</v>
      </c>
      <c r="AE87" s="19"/>
    </row>
    <row r="88" spans="1:31" hidden="1">
      <c r="A88" s="2">
        <v>46106</v>
      </c>
      <c r="B88" s="1">
        <v>8000068461</v>
      </c>
      <c r="C88" s="3" t="s">
        <v>191</v>
      </c>
      <c r="D88" s="3" t="s">
        <v>41</v>
      </c>
      <c r="E88" s="1" t="s">
        <v>44</v>
      </c>
      <c r="F88" s="1" t="s">
        <v>44</v>
      </c>
      <c r="G88" s="1" t="s">
        <v>44</v>
      </c>
      <c r="H88" s="1"/>
      <c r="I88" s="1"/>
      <c r="J88" s="18"/>
      <c r="K88" s="1"/>
      <c r="L88" s="1"/>
      <c r="M88" s="1"/>
      <c r="N88" s="1"/>
      <c r="O88" s="1"/>
      <c r="P88" s="1"/>
      <c r="Q88" s="1"/>
      <c r="R88" s="1"/>
      <c r="S88" s="1"/>
      <c r="T88" s="18"/>
      <c r="U88" s="18"/>
      <c r="V88" s="1"/>
      <c r="W88" s="1"/>
      <c r="X88" s="1"/>
      <c r="Y88" s="1"/>
      <c r="Z88" s="1"/>
      <c r="AA88" s="1"/>
      <c r="AB88" s="1"/>
      <c r="AC88" s="1"/>
      <c r="AD88" s="1"/>
      <c r="AE88" s="19"/>
    </row>
    <row r="89" spans="1:31">
      <c r="A89" s="2">
        <v>46122</v>
      </c>
      <c r="B89" s="1">
        <v>8000068487</v>
      </c>
      <c r="C89" s="3" t="s">
        <v>192</v>
      </c>
      <c r="D89" s="3" t="s">
        <v>105</v>
      </c>
      <c r="E89" s="1">
        <v>100</v>
      </c>
      <c r="F89" s="1">
        <v>100</v>
      </c>
      <c r="G89" t="s">
        <v>148</v>
      </c>
      <c r="H89" s="7">
        <v>0</v>
      </c>
      <c r="T89" s="7">
        <v>48</v>
      </c>
      <c r="U89" s="7">
        <v>52</v>
      </c>
      <c r="AA89" s="7">
        <f t="shared" ref="AA89:AA90" si="10">SUM(H89:Z89)</f>
        <v>100</v>
      </c>
      <c r="AD89" s="10">
        <v>23772.240000000002</v>
      </c>
      <c r="AE89" s="19"/>
    </row>
    <row r="90" spans="1:31">
      <c r="A90" s="2">
        <v>46085</v>
      </c>
      <c r="B90" s="1">
        <v>8000068556</v>
      </c>
      <c r="C90" s="3" t="s">
        <v>193</v>
      </c>
      <c r="D90" s="3" t="s">
        <v>105</v>
      </c>
      <c r="E90" s="1">
        <v>152</v>
      </c>
      <c r="F90" s="1">
        <v>152</v>
      </c>
      <c r="G90" t="s">
        <v>194</v>
      </c>
      <c r="H90" s="7">
        <v>0</v>
      </c>
      <c r="T90" s="7">
        <v>74</v>
      </c>
      <c r="U90" s="7">
        <v>78</v>
      </c>
      <c r="AA90" s="7">
        <f t="shared" si="10"/>
        <v>152</v>
      </c>
      <c r="AC90" s="10">
        <v>44</v>
      </c>
      <c r="AD90" s="10">
        <v>38068.239999999998</v>
      </c>
      <c r="AE90" s="19"/>
    </row>
    <row r="91" spans="1:31" hidden="1">
      <c r="A91" s="2">
        <v>46078</v>
      </c>
      <c r="B91" s="1">
        <v>8000068568</v>
      </c>
      <c r="C91" s="3" t="s">
        <v>195</v>
      </c>
      <c r="D91" s="3" t="s">
        <v>41</v>
      </c>
      <c r="E91" s="1" t="s">
        <v>44</v>
      </c>
      <c r="F91" s="1" t="s">
        <v>44</v>
      </c>
      <c r="G91" s="1" t="s">
        <v>44</v>
      </c>
      <c r="H91" s="1"/>
      <c r="I91" s="1"/>
      <c r="J91" s="18"/>
      <c r="K91" s="1"/>
      <c r="L91" s="1"/>
      <c r="M91" s="1"/>
      <c r="N91" s="1"/>
      <c r="O91" s="1"/>
      <c r="P91" s="1"/>
      <c r="Q91" s="1"/>
      <c r="R91" s="1"/>
      <c r="S91" s="1"/>
      <c r="T91" s="18"/>
      <c r="U91" s="18"/>
      <c r="V91" s="1"/>
      <c r="W91" s="1"/>
      <c r="X91" s="1"/>
      <c r="Y91" s="1"/>
      <c r="Z91" s="1"/>
      <c r="AA91" s="1"/>
      <c r="AB91" s="1"/>
      <c r="AC91" s="1"/>
      <c r="AD91" s="1"/>
      <c r="AE91" s="19"/>
    </row>
    <row r="92" spans="1:31">
      <c r="A92" s="2">
        <v>46105</v>
      </c>
      <c r="B92" s="1">
        <v>8000068579</v>
      </c>
      <c r="C92" s="3" t="s">
        <v>196</v>
      </c>
      <c r="D92" s="3" t="s">
        <v>41</v>
      </c>
      <c r="E92" s="1">
        <v>62</v>
      </c>
      <c r="F92" s="1">
        <v>62</v>
      </c>
      <c r="G92" t="s">
        <v>197</v>
      </c>
      <c r="H92" s="7">
        <v>0</v>
      </c>
      <c r="T92" s="7">
        <v>32</v>
      </c>
      <c r="U92" s="7">
        <v>30</v>
      </c>
      <c r="AA92" s="7">
        <f t="shared" ref="AA92:AA94" si="11">SUM(H92:Z92)</f>
        <v>62</v>
      </c>
      <c r="AB92" s="10">
        <v>999999</v>
      </c>
      <c r="AD92" s="20">
        <v>11889.74</v>
      </c>
      <c r="AE92" s="19"/>
    </row>
    <row r="93" spans="1:31">
      <c r="A93" s="2">
        <v>46072</v>
      </c>
      <c r="B93" s="1">
        <v>8000068615</v>
      </c>
      <c r="C93" s="3" t="s">
        <v>198</v>
      </c>
      <c r="D93" s="3" t="s">
        <v>62</v>
      </c>
      <c r="E93" s="1">
        <v>108</v>
      </c>
      <c r="F93" s="1">
        <v>108</v>
      </c>
      <c r="G93" t="s">
        <v>199</v>
      </c>
      <c r="H93" s="7">
        <v>0</v>
      </c>
      <c r="T93" s="7">
        <v>72</v>
      </c>
      <c r="U93" s="7">
        <v>36</v>
      </c>
      <c r="AA93" s="7">
        <f t="shared" si="11"/>
        <v>108</v>
      </c>
      <c r="AB93" s="10">
        <v>144.81</v>
      </c>
      <c r="AD93" s="10">
        <v>26548.560000000001</v>
      </c>
      <c r="AE93" s="19"/>
    </row>
    <row r="94" spans="1:31">
      <c r="A94" s="2">
        <v>46090</v>
      </c>
      <c r="B94" s="1">
        <v>8000068649</v>
      </c>
      <c r="C94" s="3" t="s">
        <v>200</v>
      </c>
      <c r="D94" s="3" t="s">
        <v>41</v>
      </c>
      <c r="E94" s="1">
        <v>39</v>
      </c>
      <c r="F94" s="1">
        <v>39</v>
      </c>
      <c r="G94" t="s">
        <v>201</v>
      </c>
      <c r="H94" s="7">
        <v>0</v>
      </c>
      <c r="T94" s="7">
        <v>24</v>
      </c>
      <c r="U94" s="7">
        <v>20</v>
      </c>
      <c r="AA94" s="7">
        <f t="shared" si="11"/>
        <v>44</v>
      </c>
      <c r="AD94" s="20">
        <v>7479.0300000000007</v>
      </c>
      <c r="AE94" s="19">
        <f>Table8[[#This Row],[Total horas DME]]-Table8[[#This Row],[Horas sem Conversão]]</f>
        <v>5</v>
      </c>
    </row>
    <row r="95" spans="1:31" hidden="1">
      <c r="A95" s="2">
        <v>46111</v>
      </c>
      <c r="B95" s="1">
        <v>8000068691</v>
      </c>
      <c r="C95" s="3" t="s">
        <v>202</v>
      </c>
      <c r="D95" s="3" t="s">
        <v>203</v>
      </c>
      <c r="E95" s="1" t="s">
        <v>44</v>
      </c>
      <c r="F95" s="1" t="s">
        <v>44</v>
      </c>
      <c r="G95" s="1" t="s">
        <v>44</v>
      </c>
      <c r="H95" s="1"/>
      <c r="I95" s="1"/>
      <c r="J95" s="18"/>
      <c r="K95" s="1"/>
      <c r="L95" s="1"/>
      <c r="M95" s="1"/>
      <c r="N95" s="1"/>
      <c r="O95" s="1"/>
      <c r="P95" s="1"/>
      <c r="Q95" s="1"/>
      <c r="R95" s="1"/>
      <c r="S95" s="1"/>
      <c r="T95" s="18"/>
      <c r="U95" s="18"/>
      <c r="V95" s="1"/>
      <c r="W95" s="1"/>
      <c r="X95" s="1"/>
      <c r="Y95" s="1"/>
      <c r="Z95" s="1"/>
      <c r="AA95" s="1"/>
      <c r="AB95" s="1"/>
      <c r="AC95" s="1"/>
      <c r="AD95" s="1"/>
      <c r="AE95" s="19"/>
    </row>
    <row r="96" spans="1:31">
      <c r="A96" s="2">
        <v>46106</v>
      </c>
      <c r="B96" s="1">
        <v>8000068699</v>
      </c>
      <c r="C96" s="3" t="s">
        <v>204</v>
      </c>
      <c r="D96" s="3" t="s">
        <v>41</v>
      </c>
      <c r="E96" s="1">
        <v>140</v>
      </c>
      <c r="F96" s="1">
        <v>140</v>
      </c>
      <c r="G96" t="s">
        <v>88</v>
      </c>
      <c r="H96" s="7">
        <v>0</v>
      </c>
      <c r="T96" s="7">
        <v>104</v>
      </c>
      <c r="U96" s="7">
        <v>36</v>
      </c>
      <c r="AA96" s="7">
        <f>SUM(H96:Z96)</f>
        <v>140</v>
      </c>
      <c r="AB96" s="10">
        <v>999999</v>
      </c>
      <c r="AD96" s="20">
        <v>26847.800000000003</v>
      </c>
      <c r="AE96" s="19"/>
    </row>
    <row r="97" spans="1:31" hidden="1">
      <c r="A97" s="2">
        <v>46125</v>
      </c>
      <c r="B97" s="1">
        <v>8000068715</v>
      </c>
      <c r="C97" s="3" t="s">
        <v>205</v>
      </c>
      <c r="D97" s="3" t="s">
        <v>41</v>
      </c>
      <c r="E97" s="1" t="s">
        <v>44</v>
      </c>
      <c r="F97" s="1" t="s">
        <v>44</v>
      </c>
      <c r="G97" s="1" t="s">
        <v>44</v>
      </c>
      <c r="H97" s="1"/>
      <c r="I97" s="1"/>
      <c r="J97" s="18"/>
      <c r="K97" s="1"/>
      <c r="L97" s="1"/>
      <c r="M97" s="1"/>
      <c r="N97" s="1"/>
      <c r="O97" s="1"/>
      <c r="P97" s="1"/>
      <c r="Q97" s="1"/>
      <c r="R97" s="1"/>
      <c r="S97" s="1"/>
      <c r="T97" s="18"/>
      <c r="U97" s="18"/>
      <c r="V97" s="1"/>
      <c r="W97" s="1"/>
      <c r="X97" s="1"/>
      <c r="Y97" s="1"/>
      <c r="Z97" s="1"/>
      <c r="AA97" s="1"/>
      <c r="AB97" s="1"/>
      <c r="AC97" s="1"/>
      <c r="AD97" s="1"/>
      <c r="AE97" s="19"/>
    </row>
    <row r="98" spans="1:31">
      <c r="A98" s="2">
        <v>46100</v>
      </c>
      <c r="B98" s="1">
        <v>8000068719</v>
      </c>
      <c r="C98" s="3" t="s">
        <v>206</v>
      </c>
      <c r="D98" s="3" t="s">
        <v>41</v>
      </c>
      <c r="E98" s="1">
        <v>60</v>
      </c>
      <c r="F98" s="1">
        <v>60</v>
      </c>
      <c r="G98" t="s">
        <v>88</v>
      </c>
      <c r="H98" s="7">
        <v>0</v>
      </c>
      <c r="T98" s="7">
        <v>30</v>
      </c>
      <c r="U98" s="7">
        <v>30</v>
      </c>
      <c r="AA98" s="7">
        <f>SUM(H98:Z98)</f>
        <v>60</v>
      </c>
      <c r="AB98" s="10">
        <v>999999</v>
      </c>
      <c r="AD98" s="20">
        <v>11506.2</v>
      </c>
      <c r="AE98" s="19"/>
    </row>
    <row r="99" spans="1:31" hidden="1">
      <c r="A99" s="2">
        <v>46092</v>
      </c>
      <c r="B99" s="1">
        <v>8000068748</v>
      </c>
      <c r="C99" s="3" t="s">
        <v>207</v>
      </c>
      <c r="D99" s="3" t="s">
        <v>203</v>
      </c>
      <c r="E99" s="1" t="s">
        <v>44</v>
      </c>
      <c r="F99" s="1" t="s">
        <v>44</v>
      </c>
      <c r="G99" s="1" t="s">
        <v>44</v>
      </c>
      <c r="H99" s="1"/>
      <c r="I99" s="1"/>
      <c r="J99" s="18"/>
      <c r="K99" s="1"/>
      <c r="L99" s="1"/>
      <c r="M99" s="1"/>
      <c r="N99" s="1"/>
      <c r="O99" s="1"/>
      <c r="P99" s="1"/>
      <c r="Q99" s="1"/>
      <c r="R99" s="1"/>
      <c r="S99" s="1"/>
      <c r="T99" s="18"/>
      <c r="U99" s="18"/>
      <c r="V99" s="1"/>
      <c r="W99" s="1"/>
      <c r="X99" s="1"/>
      <c r="Y99" s="1"/>
      <c r="Z99" s="1"/>
      <c r="AA99" s="1"/>
      <c r="AB99" s="1"/>
      <c r="AC99" s="1"/>
      <c r="AD99" s="1"/>
      <c r="AE99" s="19"/>
    </row>
    <row r="100" spans="1:31" hidden="1">
      <c r="A100" s="2">
        <v>46092</v>
      </c>
      <c r="B100" s="1">
        <v>8000068776</v>
      </c>
      <c r="C100" s="3" t="s">
        <v>208</v>
      </c>
      <c r="D100" s="3" t="s">
        <v>203</v>
      </c>
      <c r="E100" s="1" t="s">
        <v>44</v>
      </c>
      <c r="F100" s="1" t="s">
        <v>44</v>
      </c>
      <c r="G100" s="1" t="s">
        <v>44</v>
      </c>
      <c r="H100" s="1"/>
      <c r="I100" s="1"/>
      <c r="J100" s="18"/>
      <c r="K100" s="1"/>
      <c r="L100" s="1"/>
      <c r="M100" s="1"/>
      <c r="N100" s="1"/>
      <c r="O100" s="1"/>
      <c r="P100" s="1"/>
      <c r="Q100" s="1"/>
      <c r="R100" s="1"/>
      <c r="S100" s="1"/>
      <c r="T100" s="18"/>
      <c r="U100" s="18"/>
      <c r="V100" s="1"/>
      <c r="W100" s="1"/>
      <c r="X100" s="1"/>
      <c r="Y100" s="1"/>
      <c r="Z100" s="1"/>
      <c r="AA100" s="1"/>
      <c r="AB100" s="1"/>
      <c r="AC100" s="1"/>
      <c r="AD100" s="1"/>
      <c r="AE100" s="19"/>
    </row>
    <row r="101" spans="1:31" hidden="1">
      <c r="A101" s="2">
        <v>46136</v>
      </c>
      <c r="B101" s="1">
        <v>8000068780</v>
      </c>
      <c r="C101" s="3" t="s">
        <v>209</v>
      </c>
      <c r="D101" s="3" t="s">
        <v>79</v>
      </c>
      <c r="E101" s="1" t="s">
        <v>44</v>
      </c>
      <c r="F101" s="1" t="s">
        <v>44</v>
      </c>
      <c r="G101" s="1" t="s">
        <v>44</v>
      </c>
      <c r="H101" s="1"/>
      <c r="I101" s="1"/>
      <c r="J101" s="18"/>
      <c r="K101" s="1"/>
      <c r="L101" s="1"/>
      <c r="M101" s="1"/>
      <c r="N101" s="1"/>
      <c r="O101" s="1"/>
      <c r="P101" s="1"/>
      <c r="Q101" s="1"/>
      <c r="R101" s="1"/>
      <c r="S101" s="1"/>
      <c r="T101" s="18"/>
      <c r="U101" s="18"/>
      <c r="V101" s="1"/>
      <c r="W101" s="1"/>
      <c r="X101" s="1"/>
      <c r="Y101" s="1"/>
      <c r="Z101" s="1"/>
      <c r="AA101" s="1"/>
      <c r="AB101" s="1"/>
      <c r="AC101" s="1"/>
      <c r="AD101" s="1"/>
      <c r="AE101" s="19"/>
    </row>
    <row r="102" spans="1:31" hidden="1">
      <c r="A102" s="2">
        <v>46090</v>
      </c>
      <c r="B102" s="1">
        <v>8000068785</v>
      </c>
      <c r="C102" s="3" t="s">
        <v>210</v>
      </c>
      <c r="D102" s="3" t="s">
        <v>203</v>
      </c>
      <c r="E102" s="1" t="s">
        <v>44</v>
      </c>
      <c r="F102" s="1" t="s">
        <v>44</v>
      </c>
      <c r="G102" s="1" t="s">
        <v>44</v>
      </c>
      <c r="H102" s="1"/>
      <c r="I102" s="1"/>
      <c r="J102" s="18"/>
      <c r="K102" s="1"/>
      <c r="L102" s="1"/>
      <c r="M102" s="1"/>
      <c r="N102" s="1"/>
      <c r="O102" s="1"/>
      <c r="P102" s="1"/>
      <c r="Q102" s="1"/>
      <c r="R102" s="1"/>
      <c r="S102" s="1"/>
      <c r="T102" s="18"/>
      <c r="U102" s="18"/>
      <c r="V102" s="1"/>
      <c r="W102" s="1"/>
      <c r="X102" s="1"/>
      <c r="Y102" s="1"/>
      <c r="Z102" s="1"/>
      <c r="AA102" s="1"/>
      <c r="AB102" s="1"/>
      <c r="AC102" s="1"/>
      <c r="AD102" s="1"/>
      <c r="AE102" s="19"/>
    </row>
    <row r="103" spans="1:31">
      <c r="A103" s="2">
        <v>46100</v>
      </c>
      <c r="B103" s="1">
        <v>8000068797</v>
      </c>
      <c r="C103" s="3" t="s">
        <v>211</v>
      </c>
      <c r="D103" s="3" t="s">
        <v>105</v>
      </c>
      <c r="E103" s="1">
        <v>66</v>
      </c>
      <c r="F103" s="1">
        <v>66</v>
      </c>
      <c r="G103" t="s">
        <v>212</v>
      </c>
      <c r="H103" s="7">
        <v>0</v>
      </c>
      <c r="T103" s="7">
        <v>66</v>
      </c>
      <c r="AA103" s="7">
        <f t="shared" ref="AA103:AA104" si="12">SUM(H103:Z103)</f>
        <v>66</v>
      </c>
      <c r="AC103" s="10">
        <v>21</v>
      </c>
      <c r="AD103" s="10">
        <v>18076.740000000002</v>
      </c>
      <c r="AE103" s="19"/>
    </row>
    <row r="104" spans="1:31">
      <c r="A104" s="2">
        <v>46087</v>
      </c>
      <c r="B104" s="1">
        <v>8000068805</v>
      </c>
      <c r="C104" s="3" t="s">
        <v>213</v>
      </c>
      <c r="D104" s="3" t="s">
        <v>41</v>
      </c>
      <c r="E104" s="1">
        <v>46</v>
      </c>
      <c r="F104" s="1">
        <v>46</v>
      </c>
      <c r="G104" t="s">
        <v>214</v>
      </c>
      <c r="H104" s="7">
        <v>0</v>
      </c>
      <c r="T104" s="7">
        <v>28</v>
      </c>
      <c r="U104" s="7">
        <v>26</v>
      </c>
      <c r="AA104" s="7">
        <f t="shared" si="12"/>
        <v>54</v>
      </c>
      <c r="AB104" s="10">
        <v>999999</v>
      </c>
      <c r="AD104" s="20">
        <v>8821.42</v>
      </c>
      <c r="AE104" s="19">
        <f>Table8[[#This Row],[Total horas DME]]-Table8[[#This Row],[Horas sem Conversão]]</f>
        <v>8</v>
      </c>
    </row>
    <row r="105" spans="1:31" hidden="1">
      <c r="A105" s="2">
        <v>46101</v>
      </c>
      <c r="B105" s="1">
        <v>8000068812</v>
      </c>
      <c r="C105" s="3" t="s">
        <v>215</v>
      </c>
      <c r="D105" s="3" t="s">
        <v>54</v>
      </c>
      <c r="E105" s="1" t="s">
        <v>44</v>
      </c>
      <c r="F105" s="1" t="s">
        <v>44</v>
      </c>
      <c r="G105" s="1" t="s">
        <v>44</v>
      </c>
      <c r="H105" s="1"/>
      <c r="I105" s="1"/>
      <c r="J105" s="18"/>
      <c r="K105" s="1"/>
      <c r="L105" s="1"/>
      <c r="M105" s="1"/>
      <c r="N105" s="1"/>
      <c r="O105" s="1"/>
      <c r="P105" s="1"/>
      <c r="Q105" s="1"/>
      <c r="R105" s="1"/>
      <c r="S105" s="1"/>
      <c r="T105" s="18"/>
      <c r="U105" s="18"/>
      <c r="V105" s="1"/>
      <c r="W105" s="1"/>
      <c r="X105" s="1"/>
      <c r="Y105" s="1"/>
      <c r="Z105" s="1"/>
      <c r="AA105" s="1"/>
      <c r="AB105" s="1"/>
      <c r="AC105" s="1"/>
      <c r="AD105" s="1"/>
      <c r="AE105" s="19"/>
    </row>
    <row r="106" spans="1:31" hidden="1">
      <c r="A106" s="2">
        <v>46098</v>
      </c>
      <c r="B106" s="1">
        <v>8000068816</v>
      </c>
      <c r="C106" s="3" t="s">
        <v>216</v>
      </c>
      <c r="D106" s="3" t="s">
        <v>203</v>
      </c>
      <c r="E106" s="1" t="s">
        <v>44</v>
      </c>
      <c r="F106" s="1" t="s">
        <v>44</v>
      </c>
      <c r="G106" s="1" t="s">
        <v>44</v>
      </c>
      <c r="H106" s="1"/>
      <c r="I106" s="1"/>
      <c r="J106" s="18"/>
      <c r="K106" s="1"/>
      <c r="L106" s="1"/>
      <c r="M106" s="1"/>
      <c r="N106" s="1"/>
      <c r="O106" s="1"/>
      <c r="P106" s="1"/>
      <c r="Q106" s="1"/>
      <c r="R106" s="1"/>
      <c r="S106" s="1"/>
      <c r="T106" s="18"/>
      <c r="U106" s="18"/>
      <c r="V106" s="1"/>
      <c r="W106" s="1"/>
      <c r="X106" s="1"/>
      <c r="Y106" s="1"/>
      <c r="Z106" s="1"/>
      <c r="AA106" s="1"/>
      <c r="AB106" s="1"/>
      <c r="AC106" s="1"/>
      <c r="AD106" s="1"/>
      <c r="AE106" s="19"/>
    </row>
    <row r="107" spans="1:31" hidden="1">
      <c r="A107" s="2">
        <v>46101</v>
      </c>
      <c r="B107" s="1">
        <v>8000068818</v>
      </c>
      <c r="C107" s="3" t="s">
        <v>217</v>
      </c>
      <c r="D107" s="3" t="s">
        <v>62</v>
      </c>
      <c r="E107" s="1" t="s">
        <v>44</v>
      </c>
      <c r="F107" s="1" t="s">
        <v>44</v>
      </c>
      <c r="G107" s="1" t="s">
        <v>44</v>
      </c>
      <c r="H107" s="1"/>
      <c r="I107" s="1"/>
      <c r="J107" s="18"/>
      <c r="K107" s="1"/>
      <c r="L107" s="1"/>
      <c r="M107" s="1"/>
      <c r="N107" s="1"/>
      <c r="O107" s="1"/>
      <c r="P107" s="1"/>
      <c r="Q107" s="1"/>
      <c r="R107" s="1"/>
      <c r="S107" s="1"/>
      <c r="T107" s="18"/>
      <c r="U107" s="18"/>
      <c r="V107" s="1"/>
      <c r="W107" s="1"/>
      <c r="X107" s="1"/>
      <c r="Y107" s="1"/>
      <c r="Z107" s="1"/>
      <c r="AA107" s="1"/>
      <c r="AB107" s="1"/>
      <c r="AC107" s="1"/>
      <c r="AD107" s="1"/>
      <c r="AE107" s="19"/>
    </row>
    <row r="108" spans="1:31">
      <c r="A108" s="2">
        <v>46094</v>
      </c>
      <c r="B108" s="1">
        <v>8000068838</v>
      </c>
      <c r="C108" s="3" t="s">
        <v>218</v>
      </c>
      <c r="D108" s="3" t="s">
        <v>41</v>
      </c>
      <c r="E108" s="1">
        <v>60</v>
      </c>
      <c r="F108" s="1">
        <v>60</v>
      </c>
      <c r="G108" t="s">
        <v>123</v>
      </c>
      <c r="H108" s="7">
        <v>0</v>
      </c>
      <c r="T108" s="7">
        <v>40</v>
      </c>
      <c r="U108" s="7">
        <v>20</v>
      </c>
      <c r="AA108" s="7">
        <f>SUM(H108:Z108)</f>
        <v>60</v>
      </c>
      <c r="AB108" s="10">
        <v>999999</v>
      </c>
      <c r="AD108" s="20">
        <v>11506.2</v>
      </c>
      <c r="AE108" s="19"/>
    </row>
    <row r="109" spans="1:31" hidden="1">
      <c r="A109" s="2">
        <v>46090</v>
      </c>
      <c r="B109" s="1">
        <v>8000068840</v>
      </c>
      <c r="C109" s="3" t="s">
        <v>219</v>
      </c>
      <c r="D109" s="3" t="s">
        <v>54</v>
      </c>
      <c r="E109" s="1" t="s">
        <v>44</v>
      </c>
      <c r="F109" s="1" t="s">
        <v>44</v>
      </c>
      <c r="G109" s="1" t="s">
        <v>44</v>
      </c>
      <c r="H109" s="1"/>
      <c r="I109" s="1"/>
      <c r="J109" s="18"/>
      <c r="K109" s="1"/>
      <c r="L109" s="1"/>
      <c r="M109" s="1"/>
      <c r="N109" s="1"/>
      <c r="O109" s="1"/>
      <c r="P109" s="1"/>
      <c r="Q109" s="1"/>
      <c r="R109" s="1"/>
      <c r="S109" s="1"/>
      <c r="T109" s="18"/>
      <c r="U109" s="18"/>
      <c r="V109" s="1"/>
      <c r="W109" s="1"/>
      <c r="X109" s="1"/>
      <c r="Y109" s="1"/>
      <c r="Z109" s="1"/>
      <c r="AA109" s="1"/>
      <c r="AB109" s="1"/>
      <c r="AC109" s="1"/>
      <c r="AD109" s="1"/>
      <c r="AE109" s="19"/>
    </row>
    <row r="110" spans="1:31" hidden="1">
      <c r="A110" s="2">
        <v>46101</v>
      </c>
      <c r="B110" s="1">
        <v>8000068859</v>
      </c>
      <c r="C110" s="3" t="s">
        <v>220</v>
      </c>
      <c r="D110" s="3" t="s">
        <v>203</v>
      </c>
      <c r="E110" s="1" t="s">
        <v>44</v>
      </c>
      <c r="F110" s="1" t="s">
        <v>44</v>
      </c>
      <c r="G110" s="1" t="s">
        <v>44</v>
      </c>
      <c r="H110" s="1"/>
      <c r="I110" s="1"/>
      <c r="J110" s="18"/>
      <c r="K110" s="1"/>
      <c r="L110" s="1"/>
      <c r="M110" s="1"/>
      <c r="N110" s="1"/>
      <c r="O110" s="1"/>
      <c r="P110" s="1"/>
      <c r="Q110" s="1"/>
      <c r="R110" s="1"/>
      <c r="S110" s="1"/>
      <c r="T110" s="18"/>
      <c r="U110" s="18"/>
      <c r="V110" s="1"/>
      <c r="W110" s="1"/>
      <c r="X110" s="1"/>
      <c r="Y110" s="1"/>
      <c r="Z110" s="1"/>
      <c r="AA110" s="1"/>
      <c r="AB110" s="1"/>
      <c r="AC110" s="1"/>
      <c r="AD110" s="1"/>
      <c r="AE110" s="19"/>
    </row>
    <row r="111" spans="1:31" hidden="1">
      <c r="A111" s="2">
        <v>46105</v>
      </c>
      <c r="B111" s="1">
        <v>8000068891</v>
      </c>
      <c r="C111" s="3" t="s">
        <v>221</v>
      </c>
      <c r="D111" s="3" t="s">
        <v>203</v>
      </c>
      <c r="E111" s="1" t="s">
        <v>44</v>
      </c>
      <c r="F111" s="1" t="s">
        <v>44</v>
      </c>
      <c r="G111" s="1" t="s">
        <v>44</v>
      </c>
      <c r="H111" s="1"/>
      <c r="I111" s="1"/>
      <c r="J111" s="18"/>
      <c r="K111" s="1"/>
      <c r="L111" s="1"/>
      <c r="M111" s="1"/>
      <c r="N111" s="1"/>
      <c r="O111" s="1"/>
      <c r="P111" s="1"/>
      <c r="Q111" s="1"/>
      <c r="R111" s="1"/>
      <c r="S111" s="1"/>
      <c r="T111" s="18"/>
      <c r="U111" s="18"/>
      <c r="V111" s="1"/>
      <c r="W111" s="1"/>
      <c r="X111" s="1"/>
      <c r="Y111" s="1"/>
      <c r="Z111" s="1"/>
      <c r="AA111" s="1"/>
      <c r="AB111" s="1"/>
      <c r="AC111" s="1"/>
      <c r="AD111" s="1"/>
      <c r="AE111" s="19"/>
    </row>
    <row r="112" spans="1:31">
      <c r="A112" s="2">
        <v>46086</v>
      </c>
      <c r="B112" s="1">
        <v>8000068944</v>
      </c>
      <c r="C112" s="3" t="s">
        <v>222</v>
      </c>
      <c r="D112" s="3" t="s">
        <v>41</v>
      </c>
      <c r="E112" s="1">
        <v>165</v>
      </c>
      <c r="F112" s="1">
        <v>165</v>
      </c>
      <c r="G112" t="s">
        <v>123</v>
      </c>
      <c r="H112" s="7">
        <v>0</v>
      </c>
      <c r="T112" s="7">
        <v>88</v>
      </c>
      <c r="U112" s="7">
        <v>77</v>
      </c>
      <c r="AA112" s="7">
        <f t="shared" ref="AA112:AA114" si="13">SUM(H112:Z112)</f>
        <v>165</v>
      </c>
      <c r="AD112" s="20">
        <v>31642.050000000003</v>
      </c>
      <c r="AE112" s="19"/>
    </row>
    <row r="113" spans="1:31">
      <c r="A113" s="2">
        <v>46083</v>
      </c>
      <c r="B113" s="1">
        <v>8000068951</v>
      </c>
      <c r="C113" s="3" t="s">
        <v>223</v>
      </c>
      <c r="D113" s="3" t="s">
        <v>41</v>
      </c>
      <c r="E113" s="1">
        <v>52</v>
      </c>
      <c r="F113" s="1">
        <v>52</v>
      </c>
      <c r="G113" t="s">
        <v>201</v>
      </c>
      <c r="H113" s="7">
        <v>0</v>
      </c>
      <c r="T113" s="7">
        <v>18</v>
      </c>
      <c r="U113" s="7">
        <v>34</v>
      </c>
      <c r="AA113" s="7">
        <f t="shared" si="13"/>
        <v>52</v>
      </c>
      <c r="AB113" s="10">
        <v>999999</v>
      </c>
      <c r="AD113" s="20">
        <v>9972.0400000000009</v>
      </c>
      <c r="AE113" s="19"/>
    </row>
    <row r="114" spans="1:31">
      <c r="A114" s="2">
        <v>46093</v>
      </c>
      <c r="B114" s="1">
        <v>8000069046</v>
      </c>
      <c r="C114" s="3" t="s">
        <v>224</v>
      </c>
      <c r="D114" s="3" t="s">
        <v>62</v>
      </c>
      <c r="E114" s="1">
        <v>100</v>
      </c>
      <c r="F114" s="1">
        <v>100</v>
      </c>
      <c r="G114" t="s">
        <v>175</v>
      </c>
      <c r="H114" s="7">
        <v>0</v>
      </c>
      <c r="T114" s="7">
        <v>66</v>
      </c>
      <c r="U114" s="7">
        <v>34</v>
      </c>
      <c r="AA114" s="7">
        <f t="shared" si="13"/>
        <v>100</v>
      </c>
      <c r="AB114" s="10">
        <v>133.93</v>
      </c>
      <c r="AD114" s="10">
        <v>24553.08</v>
      </c>
      <c r="AE114" s="19"/>
    </row>
    <row r="115" spans="1:31" hidden="1">
      <c r="A115" s="2">
        <v>46157</v>
      </c>
      <c r="B115" s="1">
        <v>8000069066</v>
      </c>
      <c r="C115" s="3" t="s">
        <v>225</v>
      </c>
      <c r="D115" s="3" t="s">
        <v>54</v>
      </c>
      <c r="E115" s="1" t="s">
        <v>44</v>
      </c>
      <c r="F115" s="1" t="s">
        <v>44</v>
      </c>
      <c r="G115" s="1" t="s">
        <v>44</v>
      </c>
      <c r="H115" s="1"/>
      <c r="I115" s="1"/>
      <c r="J115" s="18"/>
      <c r="K115" s="1"/>
      <c r="L115" s="1"/>
      <c r="M115" s="1"/>
      <c r="N115" s="1"/>
      <c r="O115" s="1"/>
      <c r="P115" s="1"/>
      <c r="Q115" s="1"/>
      <c r="R115" s="1"/>
      <c r="S115" s="1"/>
      <c r="T115" s="18"/>
      <c r="U115" s="18"/>
      <c r="V115" s="1"/>
      <c r="W115" s="1"/>
      <c r="X115" s="1"/>
      <c r="Y115" s="1"/>
      <c r="Z115" s="1"/>
      <c r="AA115" s="1"/>
      <c r="AB115" s="1"/>
      <c r="AC115" s="1"/>
      <c r="AD115" s="1"/>
      <c r="AE115" s="19"/>
    </row>
    <row r="116" spans="1:31">
      <c r="A116" s="2">
        <v>46107</v>
      </c>
      <c r="B116" s="1">
        <v>8000069095</v>
      </c>
      <c r="C116" s="3" t="s">
        <v>226</v>
      </c>
      <c r="D116" s="3" t="s">
        <v>105</v>
      </c>
      <c r="E116" s="1">
        <v>78</v>
      </c>
      <c r="F116" s="1">
        <v>78</v>
      </c>
      <c r="G116" t="s">
        <v>227</v>
      </c>
      <c r="H116" s="7">
        <v>48</v>
      </c>
      <c r="U116" s="7">
        <v>30</v>
      </c>
      <c r="AA116" s="7">
        <f t="shared" ref="AA116:AA119" si="14">SUM(H116:Z116)</f>
        <v>78</v>
      </c>
      <c r="AD116" s="10">
        <v>19993.02</v>
      </c>
      <c r="AE116" s="19">
        <f>Table8[[#This Row],[Total horas DME]]-Table8[[#This Row],[Horas sem Conversão]]</f>
        <v>0</v>
      </c>
    </row>
    <row r="117" spans="1:31">
      <c r="A117" s="2">
        <v>46097</v>
      </c>
      <c r="B117" s="1">
        <v>8000069105</v>
      </c>
      <c r="C117" s="3" t="s">
        <v>228</v>
      </c>
      <c r="D117" s="3" t="s">
        <v>229</v>
      </c>
      <c r="E117" s="1">
        <v>156</v>
      </c>
      <c r="F117" s="1">
        <v>215.22</v>
      </c>
      <c r="G117" t="s">
        <v>230</v>
      </c>
      <c r="H117" s="7">
        <v>0</v>
      </c>
      <c r="T117" s="7">
        <v>156</v>
      </c>
      <c r="AA117" s="7">
        <f t="shared" si="14"/>
        <v>156</v>
      </c>
      <c r="AC117" s="10">
        <v>215.22</v>
      </c>
      <c r="AD117" s="10">
        <v>41480.239999999998</v>
      </c>
      <c r="AE117" s="19"/>
    </row>
    <row r="118" spans="1:31">
      <c r="A118" s="2">
        <v>46093</v>
      </c>
      <c r="B118" s="1">
        <v>8000069193</v>
      </c>
      <c r="C118" s="3" t="s">
        <v>231</v>
      </c>
      <c r="D118" s="3" t="s">
        <v>41</v>
      </c>
      <c r="E118" s="1">
        <v>100</v>
      </c>
      <c r="F118" s="1">
        <v>100</v>
      </c>
      <c r="G118" t="s">
        <v>232</v>
      </c>
      <c r="H118" s="7">
        <v>0</v>
      </c>
      <c r="T118" s="7">
        <v>56</v>
      </c>
      <c r="U118" s="7">
        <v>52</v>
      </c>
      <c r="AA118" s="7">
        <f t="shared" si="14"/>
        <v>108</v>
      </c>
      <c r="AB118" s="10">
        <v>999999</v>
      </c>
      <c r="AD118" s="20">
        <v>19177</v>
      </c>
      <c r="AE118" s="19">
        <f>Table8[[#This Row],[Total horas DME]]-Table8[[#This Row],[Horas sem Conversão]]</f>
        <v>8</v>
      </c>
    </row>
    <row r="119" spans="1:31">
      <c r="A119" s="2">
        <v>46108</v>
      </c>
      <c r="B119" s="1">
        <v>8000069256</v>
      </c>
      <c r="C119" s="3" t="s">
        <v>233</v>
      </c>
      <c r="D119" s="3" t="s">
        <v>105</v>
      </c>
      <c r="E119" s="1">
        <v>136</v>
      </c>
      <c r="F119" s="1">
        <v>136</v>
      </c>
      <c r="G119" t="s">
        <v>121</v>
      </c>
      <c r="H119" s="7">
        <v>48</v>
      </c>
      <c r="U119" s="7">
        <v>80</v>
      </c>
      <c r="V119" s="7">
        <v>8</v>
      </c>
      <c r="AA119" s="7">
        <f t="shared" si="14"/>
        <v>136</v>
      </c>
      <c r="AD119" s="10">
        <v>33503.040000000001</v>
      </c>
      <c r="AE119" s="19">
        <f>Table8[[#This Row],[Total horas DME]]-Table8[[#This Row],[Horas sem Conversão]]</f>
        <v>0</v>
      </c>
    </row>
    <row r="120" spans="1:31" hidden="1">
      <c r="A120" s="2">
        <v>46178</v>
      </c>
      <c r="B120" s="1">
        <v>8000069303</v>
      </c>
      <c r="C120" s="3" t="s">
        <v>234</v>
      </c>
      <c r="D120" s="3" t="s">
        <v>41</v>
      </c>
      <c r="E120" s="1" t="s">
        <v>44</v>
      </c>
      <c r="F120" s="1" t="s">
        <v>44</v>
      </c>
      <c r="G120" s="1" t="s">
        <v>44</v>
      </c>
      <c r="H120" s="1"/>
      <c r="I120" s="1"/>
      <c r="J120" s="18"/>
      <c r="K120" s="1"/>
      <c r="L120" s="1"/>
      <c r="M120" s="1"/>
      <c r="N120" s="1"/>
      <c r="O120" s="1"/>
      <c r="P120" s="1"/>
      <c r="Q120" s="1"/>
      <c r="R120" s="1"/>
      <c r="S120" s="1"/>
      <c r="T120" s="18"/>
      <c r="U120" s="18"/>
      <c r="V120" s="1"/>
      <c r="W120" s="1"/>
      <c r="X120" s="1"/>
      <c r="Y120" s="1"/>
      <c r="Z120" s="1"/>
      <c r="AA120" s="1"/>
      <c r="AB120" s="1"/>
      <c r="AC120" s="1"/>
      <c r="AD120" s="1"/>
      <c r="AE120" s="19"/>
    </row>
    <row r="121" spans="1:31" hidden="1">
      <c r="A121" s="2">
        <v>46105</v>
      </c>
      <c r="B121" s="1">
        <v>8000069320</v>
      </c>
      <c r="C121" s="3" t="s">
        <v>235</v>
      </c>
      <c r="D121" s="3" t="s">
        <v>54</v>
      </c>
      <c r="E121" s="1" t="s">
        <v>44</v>
      </c>
      <c r="F121" s="1" t="s">
        <v>44</v>
      </c>
      <c r="G121" s="1" t="s">
        <v>44</v>
      </c>
      <c r="H121" s="1"/>
      <c r="I121" s="1"/>
      <c r="J121" s="18"/>
      <c r="K121" s="1"/>
      <c r="L121" s="1"/>
      <c r="M121" s="1"/>
      <c r="N121" s="1"/>
      <c r="O121" s="1"/>
      <c r="P121" s="1"/>
      <c r="Q121" s="1"/>
      <c r="R121" s="1"/>
      <c r="S121" s="1"/>
      <c r="T121" s="18"/>
      <c r="U121" s="18"/>
      <c r="V121" s="1"/>
      <c r="W121" s="1"/>
      <c r="X121" s="1"/>
      <c r="Y121" s="1"/>
      <c r="Z121" s="1"/>
      <c r="AA121" s="1"/>
      <c r="AB121" s="1"/>
      <c r="AC121" s="1"/>
      <c r="AD121" s="1"/>
      <c r="AE121" s="19"/>
    </row>
    <row r="122" spans="1:31" hidden="1">
      <c r="A122" s="2">
        <v>46097</v>
      </c>
      <c r="B122" s="1">
        <v>8000069321</v>
      </c>
      <c r="C122" s="3" t="s">
        <v>236</v>
      </c>
      <c r="D122" s="3" t="s">
        <v>62</v>
      </c>
      <c r="E122" s="1" t="s">
        <v>44</v>
      </c>
      <c r="F122" s="1" t="s">
        <v>44</v>
      </c>
      <c r="G122" s="1" t="s">
        <v>44</v>
      </c>
      <c r="H122" s="1"/>
      <c r="I122" s="1"/>
      <c r="J122" s="18"/>
      <c r="K122" s="1"/>
      <c r="L122" s="1"/>
      <c r="M122" s="1"/>
      <c r="N122" s="1"/>
      <c r="O122" s="1"/>
      <c r="P122" s="1"/>
      <c r="Q122" s="1"/>
      <c r="R122" s="1"/>
      <c r="S122" s="1"/>
      <c r="T122" s="18"/>
      <c r="U122" s="18"/>
      <c r="V122" s="1"/>
      <c r="W122" s="1"/>
      <c r="X122" s="1"/>
      <c r="Y122" s="1"/>
      <c r="Z122" s="1"/>
      <c r="AA122" s="1"/>
      <c r="AB122" s="1"/>
      <c r="AC122" s="1"/>
      <c r="AD122" s="1"/>
      <c r="AE122" s="19"/>
    </row>
    <row r="123" spans="1:31">
      <c r="A123" s="2">
        <v>46097</v>
      </c>
      <c r="B123" s="1">
        <v>8000069337</v>
      </c>
      <c r="C123" s="3" t="s">
        <v>237</v>
      </c>
      <c r="D123" s="3" t="s">
        <v>79</v>
      </c>
      <c r="E123" s="1">
        <v>52</v>
      </c>
      <c r="F123" s="1">
        <v>71.260000000000005</v>
      </c>
      <c r="G123" t="s">
        <v>238</v>
      </c>
      <c r="H123" s="7">
        <v>0</v>
      </c>
      <c r="T123" s="7">
        <v>22</v>
      </c>
      <c r="U123" s="7">
        <v>30</v>
      </c>
      <c r="AA123" s="7">
        <f>SUM(H123:Z123)</f>
        <v>52</v>
      </c>
      <c r="AB123" s="10">
        <v>71.260000000000005</v>
      </c>
      <c r="AD123" s="10">
        <v>11844.52</v>
      </c>
      <c r="AE123" s="19"/>
    </row>
    <row r="124" spans="1:31" hidden="1">
      <c r="A124" s="2">
        <v>46136</v>
      </c>
      <c r="B124" s="1">
        <v>8000069393</v>
      </c>
      <c r="C124" s="3" t="s">
        <v>239</v>
      </c>
      <c r="D124" s="3" t="s">
        <v>105</v>
      </c>
      <c r="E124" s="1" t="s">
        <v>44</v>
      </c>
      <c r="F124" s="1" t="s">
        <v>44</v>
      </c>
      <c r="G124" s="1" t="s">
        <v>44</v>
      </c>
      <c r="H124" s="1"/>
      <c r="I124" s="1"/>
      <c r="J124" s="18"/>
      <c r="K124" s="1"/>
      <c r="L124" s="1"/>
      <c r="M124" s="1"/>
      <c r="N124" s="1"/>
      <c r="O124" s="1"/>
      <c r="P124" s="1"/>
      <c r="Q124" s="1"/>
      <c r="R124" s="1"/>
      <c r="S124" s="1"/>
      <c r="T124" s="18"/>
      <c r="U124" s="18"/>
      <c r="V124" s="1"/>
      <c r="W124" s="1"/>
      <c r="X124" s="1"/>
      <c r="Y124" s="1"/>
      <c r="Z124" s="1"/>
      <c r="AA124" s="1"/>
      <c r="AB124" s="1"/>
      <c r="AC124" s="1"/>
      <c r="AD124" s="1"/>
      <c r="AE124" s="19"/>
    </row>
    <row r="125" spans="1:31" hidden="1">
      <c r="A125" s="2">
        <v>46111</v>
      </c>
      <c r="B125" s="1">
        <v>8000069405</v>
      </c>
      <c r="C125" s="3" t="s">
        <v>240</v>
      </c>
      <c r="D125" s="3" t="s">
        <v>203</v>
      </c>
      <c r="E125" s="1" t="s">
        <v>44</v>
      </c>
      <c r="F125" s="1" t="s">
        <v>44</v>
      </c>
      <c r="G125" s="1" t="s">
        <v>44</v>
      </c>
      <c r="H125" s="1"/>
      <c r="I125" s="1"/>
      <c r="J125" s="18"/>
      <c r="K125" s="1"/>
      <c r="L125" s="1"/>
      <c r="M125" s="1"/>
      <c r="N125" s="1"/>
      <c r="O125" s="1"/>
      <c r="P125" s="1"/>
      <c r="Q125" s="1"/>
      <c r="R125" s="1"/>
      <c r="S125" s="1"/>
      <c r="T125" s="18"/>
      <c r="U125" s="18"/>
      <c r="V125" s="1"/>
      <c r="W125" s="1"/>
      <c r="X125" s="1"/>
      <c r="Y125" s="1"/>
      <c r="Z125" s="1"/>
      <c r="AA125" s="1"/>
      <c r="AB125" s="1"/>
      <c r="AC125" s="1"/>
      <c r="AD125" s="1"/>
      <c r="AE125" s="19"/>
    </row>
    <row r="126" spans="1:31" hidden="1">
      <c r="A126" s="2">
        <v>46171</v>
      </c>
      <c r="B126" s="1">
        <v>8000069430</v>
      </c>
      <c r="C126" s="3" t="s">
        <v>241</v>
      </c>
      <c r="D126" s="3" t="s">
        <v>203</v>
      </c>
      <c r="E126" s="1" t="s">
        <v>44</v>
      </c>
      <c r="F126" s="1" t="s">
        <v>44</v>
      </c>
      <c r="G126" s="1" t="s">
        <v>44</v>
      </c>
      <c r="H126" s="1"/>
      <c r="I126" s="1"/>
      <c r="J126" s="18"/>
      <c r="K126" s="1"/>
      <c r="L126" s="1"/>
      <c r="M126" s="1"/>
      <c r="N126" s="1"/>
      <c r="O126" s="1"/>
      <c r="P126" s="1"/>
      <c r="Q126" s="1"/>
      <c r="R126" s="1"/>
      <c r="S126" s="1"/>
      <c r="T126" s="18"/>
      <c r="U126" s="18"/>
      <c r="V126" s="1"/>
      <c r="W126" s="1"/>
      <c r="X126" s="1"/>
      <c r="Y126" s="1"/>
      <c r="Z126" s="1"/>
      <c r="AA126" s="1"/>
      <c r="AB126" s="1"/>
      <c r="AC126" s="1"/>
      <c r="AD126" s="1"/>
      <c r="AE126" s="19"/>
    </row>
    <row r="127" spans="1:31" hidden="1">
      <c r="A127" s="2">
        <v>46108</v>
      </c>
      <c r="B127" s="1">
        <v>8000069449</v>
      </c>
      <c r="C127" s="3" t="s">
        <v>242</v>
      </c>
      <c r="D127" s="3" t="s">
        <v>62</v>
      </c>
      <c r="E127" s="1" t="s">
        <v>44</v>
      </c>
      <c r="F127" s="1" t="s">
        <v>44</v>
      </c>
      <c r="G127" s="1" t="s">
        <v>44</v>
      </c>
      <c r="H127" s="1"/>
      <c r="I127" s="1"/>
      <c r="J127" s="18"/>
      <c r="K127" s="1"/>
      <c r="L127" s="1"/>
      <c r="M127" s="1"/>
      <c r="N127" s="1"/>
      <c r="O127" s="1"/>
      <c r="P127" s="1"/>
      <c r="Q127" s="1"/>
      <c r="R127" s="1"/>
      <c r="S127" s="1"/>
      <c r="T127" s="18"/>
      <c r="U127" s="18"/>
      <c r="V127" s="1"/>
      <c r="W127" s="1"/>
      <c r="X127" s="1"/>
      <c r="Y127" s="1"/>
      <c r="Z127" s="1"/>
      <c r="AA127" s="1"/>
      <c r="AB127" s="1"/>
      <c r="AC127" s="1"/>
      <c r="AD127" s="1"/>
      <c r="AE127" s="19"/>
    </row>
    <row r="128" spans="1:31" hidden="1">
      <c r="A128" s="2">
        <v>46118</v>
      </c>
      <c r="B128" s="1">
        <v>8000069458</v>
      </c>
      <c r="C128" s="3" t="s">
        <v>243</v>
      </c>
      <c r="D128" s="3" t="s">
        <v>41</v>
      </c>
      <c r="E128" s="1" t="s">
        <v>44</v>
      </c>
      <c r="F128" s="1" t="s">
        <v>44</v>
      </c>
      <c r="G128" s="1" t="s">
        <v>44</v>
      </c>
      <c r="H128" s="1"/>
      <c r="I128" s="1"/>
      <c r="J128" s="18"/>
      <c r="K128" s="1"/>
      <c r="L128" s="1"/>
      <c r="M128" s="1"/>
      <c r="N128" s="1"/>
      <c r="O128" s="1"/>
      <c r="P128" s="1"/>
      <c r="Q128" s="1"/>
      <c r="R128" s="1"/>
      <c r="S128" s="1"/>
      <c r="T128" s="18"/>
      <c r="U128" s="18"/>
      <c r="V128" s="1"/>
      <c r="W128" s="1"/>
      <c r="X128" s="1"/>
      <c r="Y128" s="1"/>
      <c r="Z128" s="1"/>
      <c r="AA128" s="1"/>
      <c r="AB128" s="1"/>
      <c r="AC128" s="1"/>
      <c r="AD128" s="1"/>
      <c r="AE128" s="19"/>
    </row>
    <row r="129" spans="1:31">
      <c r="A129" s="2">
        <v>46129</v>
      </c>
      <c r="B129" s="1">
        <v>8000069459</v>
      </c>
      <c r="C129" s="3" t="s">
        <v>244</v>
      </c>
      <c r="D129" s="3" t="s">
        <v>136</v>
      </c>
      <c r="E129" s="1">
        <v>53.4</v>
      </c>
      <c r="F129" s="1">
        <v>33.4</v>
      </c>
      <c r="G129" t="s">
        <v>245</v>
      </c>
      <c r="H129" s="7">
        <v>0</v>
      </c>
      <c r="I129" s="7">
        <v>15</v>
      </c>
      <c r="P129" s="7">
        <v>28</v>
      </c>
      <c r="AA129" s="7">
        <f t="shared" ref="AA129:AA130" si="15">SUM(H129:Z129)</f>
        <v>43</v>
      </c>
      <c r="AB129" s="10">
        <v>61.4</v>
      </c>
      <c r="AD129" s="10">
        <v>11433.66</v>
      </c>
      <c r="AE129" s="19">
        <f>Table8[[#This Row],[Total horas DME]]-Table8[[#This Row],[Horas sem Conversão]]</f>
        <v>-10.399999999999999</v>
      </c>
    </row>
    <row r="130" spans="1:31">
      <c r="A130" s="2">
        <v>46098</v>
      </c>
      <c r="B130" s="1">
        <v>8000069468</v>
      </c>
      <c r="C130" s="3" t="s">
        <v>246</v>
      </c>
      <c r="D130" s="3" t="s">
        <v>41</v>
      </c>
      <c r="E130" s="1">
        <v>36</v>
      </c>
      <c r="F130" s="1">
        <v>36</v>
      </c>
      <c r="G130" t="s">
        <v>247</v>
      </c>
      <c r="H130" s="7">
        <v>0</v>
      </c>
      <c r="T130" s="7">
        <v>20</v>
      </c>
      <c r="U130" s="7">
        <v>16</v>
      </c>
      <c r="AA130" s="7">
        <f t="shared" si="15"/>
        <v>36</v>
      </c>
      <c r="AB130" s="10">
        <v>999999</v>
      </c>
      <c r="AD130" s="20">
        <v>6903.72</v>
      </c>
      <c r="AE130" s="19"/>
    </row>
    <row r="131" spans="1:31" hidden="1">
      <c r="A131" s="2">
        <v>46097</v>
      </c>
      <c r="B131" s="1">
        <v>8000069477</v>
      </c>
      <c r="C131" s="3" t="s">
        <v>248</v>
      </c>
      <c r="D131" s="3" t="s">
        <v>203</v>
      </c>
      <c r="E131" s="1" t="s">
        <v>44</v>
      </c>
      <c r="F131" s="1" t="s">
        <v>44</v>
      </c>
      <c r="G131" s="1" t="s">
        <v>44</v>
      </c>
      <c r="H131" s="1"/>
      <c r="I131" s="1"/>
      <c r="J131" s="18"/>
      <c r="K131" s="1"/>
      <c r="L131" s="1"/>
      <c r="M131" s="1"/>
      <c r="N131" s="1"/>
      <c r="O131" s="1"/>
      <c r="P131" s="1"/>
      <c r="Q131" s="1"/>
      <c r="R131" s="1"/>
      <c r="S131" s="1"/>
      <c r="T131" s="18"/>
      <c r="U131" s="18"/>
      <c r="V131" s="1"/>
      <c r="W131" s="1"/>
      <c r="X131" s="1"/>
      <c r="Y131" s="1"/>
      <c r="Z131" s="1"/>
      <c r="AA131" s="1"/>
      <c r="AB131" s="1"/>
      <c r="AC131" s="1"/>
      <c r="AD131" s="1"/>
      <c r="AE131" s="19"/>
    </row>
    <row r="132" spans="1:31" hidden="1">
      <c r="A132" s="2">
        <v>46126</v>
      </c>
      <c r="B132" s="1">
        <v>8000069512</v>
      </c>
      <c r="C132" s="3" t="s">
        <v>249</v>
      </c>
      <c r="D132" s="3" t="s">
        <v>105</v>
      </c>
      <c r="E132" s="1" t="s">
        <v>44</v>
      </c>
      <c r="F132" s="1" t="s">
        <v>44</v>
      </c>
      <c r="G132" s="1" t="s">
        <v>44</v>
      </c>
      <c r="H132" s="1"/>
      <c r="I132" s="1"/>
      <c r="J132" s="18"/>
      <c r="K132" s="1"/>
      <c r="L132" s="1"/>
      <c r="M132" s="1"/>
      <c r="N132" s="1"/>
      <c r="O132" s="1"/>
      <c r="P132" s="1"/>
      <c r="Q132" s="1"/>
      <c r="R132" s="1"/>
      <c r="S132" s="1"/>
      <c r="T132" s="18"/>
      <c r="U132" s="18"/>
      <c r="V132" s="1"/>
      <c r="W132" s="1"/>
      <c r="X132" s="1"/>
      <c r="Y132" s="1"/>
      <c r="Z132" s="1"/>
      <c r="AA132" s="1"/>
      <c r="AB132" s="1"/>
      <c r="AC132" s="1"/>
      <c r="AD132" s="1"/>
      <c r="AE132" s="19"/>
    </row>
    <row r="133" spans="1:31" hidden="1">
      <c r="A133" s="2">
        <v>46114</v>
      </c>
      <c r="B133" s="1">
        <v>8000069518</v>
      </c>
      <c r="C133" s="3" t="s">
        <v>250</v>
      </c>
      <c r="D133" s="3" t="s">
        <v>105</v>
      </c>
      <c r="E133" s="1" t="s">
        <v>44</v>
      </c>
      <c r="F133" s="1" t="s">
        <v>44</v>
      </c>
      <c r="G133" s="1" t="s">
        <v>44</v>
      </c>
      <c r="H133" s="1"/>
      <c r="I133" s="1"/>
      <c r="J133" s="18"/>
      <c r="K133" s="1"/>
      <c r="L133" s="1"/>
      <c r="M133" s="1"/>
      <c r="N133" s="1"/>
      <c r="O133" s="1"/>
      <c r="P133" s="1"/>
      <c r="Q133" s="1"/>
      <c r="R133" s="1"/>
      <c r="S133" s="1"/>
      <c r="T133" s="18"/>
      <c r="U133" s="18"/>
      <c r="V133" s="1"/>
      <c r="W133" s="1"/>
      <c r="X133" s="1"/>
      <c r="Y133" s="1"/>
      <c r="Z133" s="1"/>
      <c r="AA133" s="1"/>
      <c r="AB133" s="1"/>
      <c r="AC133" s="1"/>
      <c r="AD133" s="1"/>
      <c r="AE133" s="19"/>
    </row>
    <row r="134" spans="1:31">
      <c r="A134" s="2">
        <v>46101</v>
      </c>
      <c r="B134" s="1">
        <v>8000069581</v>
      </c>
      <c r="C134" s="3" t="s">
        <v>251</v>
      </c>
      <c r="D134" s="3" t="s">
        <v>75</v>
      </c>
      <c r="E134" s="1">
        <v>74</v>
      </c>
      <c r="F134" s="1">
        <v>94.04</v>
      </c>
      <c r="G134" t="s">
        <v>252</v>
      </c>
      <c r="H134" s="7">
        <v>0</v>
      </c>
      <c r="J134" s="7">
        <v>38</v>
      </c>
      <c r="U134" s="7">
        <v>36</v>
      </c>
      <c r="AA134" s="7">
        <f t="shared" ref="AA134:AA135" si="16">SUM(H134:Z134)</f>
        <v>74</v>
      </c>
      <c r="AB134" s="10">
        <v>94.04</v>
      </c>
      <c r="AD134" s="10">
        <v>18132.64</v>
      </c>
      <c r="AE134" s="19"/>
    </row>
    <row r="135" spans="1:31">
      <c r="A135" s="2">
        <v>46142</v>
      </c>
      <c r="B135" s="1">
        <v>8000069598</v>
      </c>
      <c r="C135" s="3" t="s">
        <v>253</v>
      </c>
      <c r="D135" s="3" t="s">
        <v>136</v>
      </c>
      <c r="E135" s="1">
        <v>50</v>
      </c>
      <c r="F135" s="1">
        <v>72.06</v>
      </c>
      <c r="G135" t="s">
        <v>254</v>
      </c>
      <c r="H135" s="7">
        <v>0</v>
      </c>
      <c r="T135" s="7">
        <v>48</v>
      </c>
      <c r="U135" s="7">
        <v>8</v>
      </c>
      <c r="AA135" s="7">
        <f t="shared" si="16"/>
        <v>56</v>
      </c>
      <c r="AB135" s="10">
        <v>78.06</v>
      </c>
      <c r="AD135" s="10">
        <v>14535.81</v>
      </c>
      <c r="AE135" s="19">
        <f>Table8[[#This Row],[Total horas DME]]-Table8[[#This Row],[Horas sem Conversão]]</f>
        <v>6</v>
      </c>
    </row>
    <row r="136" spans="1:31" hidden="1">
      <c r="A136" s="2">
        <v>46113</v>
      </c>
      <c r="B136" s="1">
        <v>8000069611</v>
      </c>
      <c r="C136" s="3" t="s">
        <v>255</v>
      </c>
      <c r="D136" s="3" t="s">
        <v>75</v>
      </c>
      <c r="E136" s="1" t="s">
        <v>44</v>
      </c>
      <c r="F136" s="1" t="s">
        <v>44</v>
      </c>
      <c r="G136" s="1" t="s">
        <v>44</v>
      </c>
      <c r="H136" s="1"/>
      <c r="I136" s="1"/>
      <c r="J136" s="18"/>
      <c r="K136" s="1"/>
      <c r="L136" s="1"/>
      <c r="M136" s="1"/>
      <c r="N136" s="1"/>
      <c r="O136" s="1"/>
      <c r="P136" s="1"/>
      <c r="Q136" s="1"/>
      <c r="R136" s="1"/>
      <c r="S136" s="1"/>
      <c r="T136" s="18"/>
      <c r="U136" s="18"/>
      <c r="V136" s="1"/>
      <c r="W136" s="1"/>
      <c r="X136" s="1"/>
      <c r="Y136" s="1"/>
      <c r="Z136" s="1"/>
      <c r="AA136" s="1"/>
      <c r="AB136" s="1"/>
      <c r="AC136" s="1"/>
      <c r="AD136" s="1"/>
      <c r="AE136" s="19"/>
    </row>
    <row r="137" spans="1:31">
      <c r="A137" s="2">
        <v>46122</v>
      </c>
      <c r="B137" s="1">
        <v>8000069641</v>
      </c>
      <c r="C137" s="3" t="s">
        <v>256</v>
      </c>
      <c r="D137" s="3" t="s">
        <v>105</v>
      </c>
      <c r="E137" s="1">
        <v>182</v>
      </c>
      <c r="F137" s="1">
        <v>182</v>
      </c>
      <c r="G137" t="s">
        <v>257</v>
      </c>
      <c r="H137" s="7">
        <v>0</v>
      </c>
      <c r="J137" s="7">
        <v>72</v>
      </c>
      <c r="U137" s="7">
        <v>57</v>
      </c>
      <c r="V137" s="7">
        <v>53</v>
      </c>
      <c r="AA137" s="7">
        <f>SUM(H137:Z137)</f>
        <v>182</v>
      </c>
      <c r="AD137" s="10">
        <v>46637.37</v>
      </c>
      <c r="AE137" s="19"/>
    </row>
    <row r="138" spans="1:31" hidden="1">
      <c r="A138" s="2">
        <v>46142</v>
      </c>
      <c r="B138" s="1">
        <v>8000069708</v>
      </c>
      <c r="C138" s="3" t="s">
        <v>258</v>
      </c>
      <c r="D138" s="3" t="s">
        <v>75</v>
      </c>
      <c r="E138" s="1" t="s">
        <v>44</v>
      </c>
      <c r="F138" s="1" t="s">
        <v>44</v>
      </c>
      <c r="G138" s="1" t="s">
        <v>44</v>
      </c>
      <c r="H138" s="1"/>
      <c r="I138" s="1"/>
      <c r="J138" s="18"/>
      <c r="K138" s="1"/>
      <c r="L138" s="1"/>
      <c r="M138" s="1"/>
      <c r="N138" s="1"/>
      <c r="O138" s="1"/>
      <c r="P138" s="1"/>
      <c r="Q138" s="1"/>
      <c r="R138" s="1"/>
      <c r="S138" s="1"/>
      <c r="T138" s="18"/>
      <c r="U138" s="18"/>
      <c r="V138" s="1"/>
      <c r="W138" s="1"/>
      <c r="X138" s="1"/>
      <c r="Y138" s="1"/>
      <c r="Z138" s="1"/>
      <c r="AA138" s="1"/>
      <c r="AB138" s="1"/>
      <c r="AC138" s="1"/>
      <c r="AD138" s="1"/>
      <c r="AE138" s="19"/>
    </row>
    <row r="139" spans="1:31" hidden="1">
      <c r="A139" s="2">
        <v>46174</v>
      </c>
      <c r="B139" s="1">
        <v>8000069712</v>
      </c>
      <c r="C139" s="3" t="s">
        <v>259</v>
      </c>
      <c r="D139" s="3" t="s">
        <v>75</v>
      </c>
      <c r="E139" s="1" t="s">
        <v>44</v>
      </c>
      <c r="F139" s="1" t="s">
        <v>44</v>
      </c>
      <c r="G139" s="1" t="s">
        <v>44</v>
      </c>
      <c r="H139" s="1"/>
      <c r="I139" s="1"/>
      <c r="J139" s="18"/>
      <c r="K139" s="1"/>
      <c r="L139" s="1"/>
      <c r="M139" s="1"/>
      <c r="N139" s="1"/>
      <c r="O139" s="1"/>
      <c r="P139" s="1"/>
      <c r="Q139" s="1"/>
      <c r="R139" s="1"/>
      <c r="S139" s="1"/>
      <c r="T139" s="18"/>
      <c r="U139" s="18"/>
      <c r="V139" s="1"/>
      <c r="W139" s="1"/>
      <c r="X139" s="1"/>
      <c r="Y139" s="1"/>
      <c r="Z139" s="1"/>
      <c r="AA139" s="1"/>
      <c r="AB139" s="1"/>
      <c r="AC139" s="1"/>
      <c r="AD139" s="1"/>
      <c r="AE139" s="19"/>
    </row>
    <row r="140" spans="1:31" hidden="1">
      <c r="A140" s="2">
        <v>46167</v>
      </c>
      <c r="B140" s="1">
        <v>8000069781</v>
      </c>
      <c r="C140" s="3" t="s">
        <v>260</v>
      </c>
      <c r="D140" s="3" t="s">
        <v>75</v>
      </c>
      <c r="E140" s="1" t="s">
        <v>44</v>
      </c>
      <c r="F140" s="1" t="s">
        <v>44</v>
      </c>
      <c r="G140" s="1" t="s">
        <v>44</v>
      </c>
      <c r="H140" s="1"/>
      <c r="I140" s="1"/>
      <c r="J140" s="18"/>
      <c r="K140" s="1"/>
      <c r="L140" s="1"/>
      <c r="M140" s="1"/>
      <c r="N140" s="1"/>
      <c r="O140" s="1"/>
      <c r="P140" s="1"/>
      <c r="Q140" s="1"/>
      <c r="R140" s="1"/>
      <c r="S140" s="1"/>
      <c r="T140" s="18"/>
      <c r="U140" s="18"/>
      <c r="V140" s="1"/>
      <c r="W140" s="1"/>
      <c r="X140" s="1"/>
      <c r="Y140" s="1"/>
      <c r="Z140" s="1"/>
      <c r="AA140" s="1"/>
      <c r="AB140" s="1"/>
      <c r="AC140" s="1"/>
      <c r="AD140" s="1"/>
      <c r="AE140" s="19"/>
    </row>
    <row r="141" spans="1:31" hidden="1">
      <c r="A141" s="2">
        <v>46121</v>
      </c>
      <c r="B141" s="1">
        <v>8000069792</v>
      </c>
      <c r="C141" s="3" t="s">
        <v>261</v>
      </c>
      <c r="D141" s="3" t="s">
        <v>203</v>
      </c>
      <c r="E141" s="1" t="s">
        <v>44</v>
      </c>
      <c r="F141" s="1" t="s">
        <v>44</v>
      </c>
      <c r="G141" s="1" t="s">
        <v>44</v>
      </c>
      <c r="H141" s="1"/>
      <c r="I141" s="1"/>
      <c r="J141" s="18"/>
      <c r="K141" s="1"/>
      <c r="L141" s="1"/>
      <c r="M141" s="1"/>
      <c r="N141" s="1"/>
      <c r="O141" s="1"/>
      <c r="P141" s="1"/>
      <c r="Q141" s="1"/>
      <c r="R141" s="1"/>
      <c r="S141" s="1"/>
      <c r="T141" s="18"/>
      <c r="U141" s="18"/>
      <c r="V141" s="1"/>
      <c r="W141" s="1"/>
      <c r="X141" s="1"/>
      <c r="Y141" s="1"/>
      <c r="Z141" s="1"/>
      <c r="AA141" s="1"/>
      <c r="AB141" s="1"/>
      <c r="AC141" s="1"/>
      <c r="AD141" s="1"/>
      <c r="AE141" s="19"/>
    </row>
    <row r="142" spans="1:31" hidden="1">
      <c r="A142" s="2">
        <v>46153</v>
      </c>
      <c r="B142" s="1">
        <v>8000069825</v>
      </c>
      <c r="C142" s="3" t="s">
        <v>262</v>
      </c>
      <c r="D142" s="3" t="s">
        <v>136</v>
      </c>
      <c r="E142" s="1" t="s">
        <v>44</v>
      </c>
      <c r="F142" s="1" t="s">
        <v>44</v>
      </c>
      <c r="G142" s="1" t="s">
        <v>44</v>
      </c>
      <c r="H142" s="1"/>
      <c r="I142" s="1"/>
      <c r="J142" s="18"/>
      <c r="K142" s="1"/>
      <c r="L142" s="1"/>
      <c r="M142" s="1"/>
      <c r="N142" s="1"/>
      <c r="O142" s="1"/>
      <c r="P142" s="1"/>
      <c r="Q142" s="1"/>
      <c r="R142" s="1"/>
      <c r="S142" s="1"/>
      <c r="T142" s="18"/>
      <c r="U142" s="18"/>
      <c r="V142" s="1"/>
      <c r="W142" s="1"/>
      <c r="X142" s="1"/>
      <c r="Y142" s="1"/>
      <c r="Z142" s="1"/>
      <c r="AA142" s="1"/>
      <c r="AB142" s="1"/>
      <c r="AC142" s="1"/>
      <c r="AD142" s="1"/>
      <c r="AE142" s="19"/>
    </row>
    <row r="143" spans="1:31" hidden="1">
      <c r="A143" s="2">
        <v>46111</v>
      </c>
      <c r="B143" s="1">
        <v>8000069887</v>
      </c>
      <c r="C143" s="3" t="s">
        <v>263</v>
      </c>
      <c r="D143" s="3" t="s">
        <v>203</v>
      </c>
      <c r="E143" s="1" t="s">
        <v>44</v>
      </c>
      <c r="F143" s="1" t="s">
        <v>44</v>
      </c>
      <c r="G143" s="1" t="s">
        <v>44</v>
      </c>
      <c r="H143" s="1"/>
      <c r="I143" s="1"/>
      <c r="J143" s="18"/>
      <c r="K143" s="1"/>
      <c r="L143" s="1"/>
      <c r="M143" s="1"/>
      <c r="N143" s="1"/>
      <c r="O143" s="1"/>
      <c r="P143" s="1"/>
      <c r="Q143" s="1"/>
      <c r="R143" s="1"/>
      <c r="S143" s="1"/>
      <c r="T143" s="18"/>
      <c r="U143" s="18"/>
      <c r="V143" s="1"/>
      <c r="W143" s="1"/>
      <c r="X143" s="1"/>
      <c r="Y143" s="1"/>
      <c r="Z143" s="1"/>
      <c r="AA143" s="1"/>
      <c r="AB143" s="1"/>
      <c r="AC143" s="1"/>
      <c r="AD143" s="1"/>
      <c r="AE143" s="19"/>
    </row>
    <row r="144" spans="1:31" hidden="1">
      <c r="A144" s="2">
        <v>46160</v>
      </c>
      <c r="B144" s="1">
        <v>8000069940</v>
      </c>
      <c r="C144" s="3" t="s">
        <v>264</v>
      </c>
      <c r="D144" s="3" t="s">
        <v>265</v>
      </c>
      <c r="E144" s="1" t="s">
        <v>44</v>
      </c>
      <c r="F144" s="1" t="s">
        <v>44</v>
      </c>
      <c r="G144" s="1" t="s">
        <v>44</v>
      </c>
      <c r="H144" s="1"/>
      <c r="I144" s="1"/>
      <c r="J144" s="18"/>
      <c r="K144" s="1"/>
      <c r="L144" s="1"/>
      <c r="M144" s="1"/>
      <c r="N144" s="1"/>
      <c r="O144" s="1"/>
      <c r="P144" s="1"/>
      <c r="Q144" s="1"/>
      <c r="R144" s="1"/>
      <c r="S144" s="1"/>
      <c r="T144" s="18"/>
      <c r="U144" s="18"/>
      <c r="V144" s="1"/>
      <c r="W144" s="1"/>
      <c r="X144" s="1"/>
      <c r="Y144" s="1"/>
      <c r="Z144" s="1"/>
      <c r="AA144" s="1"/>
      <c r="AB144" s="1"/>
      <c r="AC144" s="1"/>
      <c r="AD144" s="1"/>
      <c r="AE144" s="19"/>
    </row>
    <row r="145" spans="1:31" hidden="1">
      <c r="A145" s="2">
        <v>46111</v>
      </c>
      <c r="B145" s="1">
        <v>8000069983</v>
      </c>
      <c r="C145" s="3" t="s">
        <v>266</v>
      </c>
      <c r="D145" s="3" t="s">
        <v>203</v>
      </c>
      <c r="E145" s="1" t="s">
        <v>44</v>
      </c>
      <c r="F145" s="1" t="s">
        <v>44</v>
      </c>
      <c r="G145" s="1" t="s">
        <v>44</v>
      </c>
      <c r="H145" s="1"/>
      <c r="I145" s="1"/>
      <c r="J145" s="18"/>
      <c r="K145" s="1"/>
      <c r="L145" s="1"/>
      <c r="M145" s="1"/>
      <c r="N145" s="1"/>
      <c r="O145" s="1"/>
      <c r="P145" s="1"/>
      <c r="Q145" s="1"/>
      <c r="R145" s="1"/>
      <c r="S145" s="1"/>
      <c r="T145" s="18"/>
      <c r="U145" s="18"/>
      <c r="V145" s="1"/>
      <c r="W145" s="1"/>
      <c r="X145" s="1"/>
      <c r="Y145" s="1"/>
      <c r="Z145" s="1"/>
      <c r="AA145" s="1"/>
      <c r="AB145" s="1"/>
      <c r="AC145" s="1"/>
      <c r="AD145" s="1"/>
      <c r="AE145" s="19"/>
    </row>
    <row r="146" spans="1:31" hidden="1">
      <c r="A146" s="2">
        <v>46136</v>
      </c>
      <c r="B146" s="1">
        <v>8000069984</v>
      </c>
      <c r="C146" s="3" t="s">
        <v>267</v>
      </c>
      <c r="D146" s="3" t="s">
        <v>41</v>
      </c>
      <c r="E146" s="1" t="s">
        <v>44</v>
      </c>
      <c r="F146" s="1" t="s">
        <v>44</v>
      </c>
      <c r="G146" s="1" t="s">
        <v>44</v>
      </c>
      <c r="H146" s="1"/>
      <c r="I146" s="1"/>
      <c r="J146" s="18"/>
      <c r="K146" s="1"/>
      <c r="L146" s="1"/>
      <c r="M146" s="1"/>
      <c r="N146" s="1"/>
      <c r="O146" s="1"/>
      <c r="P146" s="1"/>
      <c r="Q146" s="1"/>
      <c r="R146" s="1"/>
      <c r="S146" s="1"/>
      <c r="T146" s="18"/>
      <c r="U146" s="18"/>
      <c r="V146" s="1"/>
      <c r="W146" s="1"/>
      <c r="X146" s="1"/>
      <c r="Y146" s="1"/>
      <c r="Z146" s="1"/>
      <c r="AA146" s="1"/>
      <c r="AB146" s="1"/>
      <c r="AC146" s="1"/>
      <c r="AD146" s="1"/>
      <c r="AE146" s="19"/>
    </row>
    <row r="147" spans="1:31" hidden="1">
      <c r="A147" s="2">
        <v>46178</v>
      </c>
      <c r="B147" s="1">
        <v>8000070025</v>
      </c>
      <c r="C147" s="3" t="s">
        <v>268</v>
      </c>
      <c r="D147" s="3" t="s">
        <v>41</v>
      </c>
      <c r="E147" s="1" t="s">
        <v>44</v>
      </c>
      <c r="F147" s="1" t="s">
        <v>44</v>
      </c>
      <c r="G147" s="1" t="s">
        <v>44</v>
      </c>
      <c r="H147" s="1"/>
      <c r="I147" s="1"/>
      <c r="J147" s="18"/>
      <c r="K147" s="1"/>
      <c r="L147" s="1"/>
      <c r="M147" s="1"/>
      <c r="N147" s="1"/>
      <c r="O147" s="1"/>
      <c r="P147" s="1"/>
      <c r="Q147" s="1"/>
      <c r="R147" s="1"/>
      <c r="S147" s="1"/>
      <c r="T147" s="18"/>
      <c r="U147" s="18"/>
      <c r="V147" s="1"/>
      <c r="W147" s="1"/>
      <c r="X147" s="1"/>
      <c r="Y147" s="1"/>
      <c r="Z147" s="1"/>
      <c r="AA147" s="1"/>
      <c r="AB147" s="1"/>
      <c r="AC147" s="1"/>
      <c r="AD147" s="1"/>
      <c r="AE147" s="19"/>
    </row>
    <row r="148" spans="1:31">
      <c r="A148" s="2">
        <v>46111</v>
      </c>
      <c r="B148" s="1">
        <v>8000070038</v>
      </c>
      <c r="C148" s="3" t="s">
        <v>269</v>
      </c>
      <c r="D148" s="3" t="s">
        <v>41</v>
      </c>
      <c r="E148" s="1">
        <v>96</v>
      </c>
      <c r="F148" s="1">
        <v>96</v>
      </c>
      <c r="G148" t="s">
        <v>190</v>
      </c>
      <c r="H148" s="7">
        <v>0</v>
      </c>
      <c r="T148" s="7">
        <v>46</v>
      </c>
      <c r="U148" s="7">
        <v>50</v>
      </c>
      <c r="AA148" s="7">
        <f>SUM(H148:Z148)</f>
        <v>96</v>
      </c>
      <c r="AB148" s="10">
        <v>999999</v>
      </c>
      <c r="AD148" s="20">
        <v>18409.920000000002</v>
      </c>
      <c r="AE148" s="19"/>
    </row>
    <row r="149" spans="1:31" hidden="1">
      <c r="A149" s="2">
        <v>46182</v>
      </c>
      <c r="B149" s="1">
        <v>8000070097</v>
      </c>
      <c r="C149" s="3" t="s">
        <v>270</v>
      </c>
      <c r="D149" s="3" t="s">
        <v>41</v>
      </c>
      <c r="E149" s="1" t="s">
        <v>44</v>
      </c>
      <c r="F149" s="1" t="s">
        <v>44</v>
      </c>
      <c r="G149" s="1" t="s">
        <v>44</v>
      </c>
      <c r="H149" s="1"/>
      <c r="I149" s="1"/>
      <c r="J149" s="18"/>
      <c r="K149" s="1"/>
      <c r="L149" s="1"/>
      <c r="M149" s="1"/>
      <c r="N149" s="1"/>
      <c r="O149" s="1"/>
      <c r="P149" s="1"/>
      <c r="Q149" s="1"/>
      <c r="R149" s="1"/>
      <c r="S149" s="1"/>
      <c r="T149" s="18"/>
      <c r="U149" s="18"/>
      <c r="V149" s="1"/>
      <c r="W149" s="1"/>
      <c r="X149" s="1"/>
      <c r="Y149" s="1"/>
      <c r="Z149" s="1"/>
      <c r="AA149" s="1"/>
      <c r="AB149" s="1"/>
      <c r="AC149" s="1"/>
      <c r="AD149" s="1"/>
      <c r="AE149" s="19"/>
    </row>
    <row r="150" spans="1:31">
      <c r="A150" s="2">
        <v>46154</v>
      </c>
      <c r="B150" s="1">
        <v>8000070139</v>
      </c>
      <c r="C150" s="3" t="s">
        <v>271</v>
      </c>
      <c r="D150" s="3" t="s">
        <v>272</v>
      </c>
      <c r="E150" s="1">
        <v>60</v>
      </c>
      <c r="F150" s="1">
        <v>99.36</v>
      </c>
      <c r="G150" t="s">
        <v>273</v>
      </c>
      <c r="H150" s="7">
        <v>42</v>
      </c>
      <c r="J150" s="7">
        <v>18</v>
      </c>
      <c r="AA150" s="7">
        <f>SUM(H150:Z150)</f>
        <v>60</v>
      </c>
      <c r="AB150" s="10">
        <v>99.36</v>
      </c>
      <c r="AD150" s="10">
        <v>17391.599999999999</v>
      </c>
      <c r="AE150" s="19">
        <f>Table8[[#This Row],[Total horas DME]]-Table8[[#This Row],[Horas sem Conversão]]</f>
        <v>0</v>
      </c>
    </row>
    <row r="151" spans="1:31" hidden="1">
      <c r="A151" s="2">
        <v>46182</v>
      </c>
      <c r="B151" s="1">
        <v>8000070164</v>
      </c>
      <c r="C151" s="3" t="s">
        <v>274</v>
      </c>
      <c r="D151" s="3" t="s">
        <v>105</v>
      </c>
      <c r="E151" s="1" t="s">
        <v>44</v>
      </c>
      <c r="F151" s="1" t="s">
        <v>44</v>
      </c>
      <c r="G151" s="1" t="s">
        <v>44</v>
      </c>
      <c r="H151" s="1"/>
      <c r="I151" s="1"/>
      <c r="J151" s="18"/>
      <c r="K151" s="1"/>
      <c r="L151" s="1"/>
      <c r="M151" s="1"/>
      <c r="N151" s="1"/>
      <c r="O151" s="1"/>
      <c r="P151" s="1"/>
      <c r="Q151" s="1"/>
      <c r="R151" s="1"/>
      <c r="S151" s="1"/>
      <c r="T151" s="18"/>
      <c r="U151" s="18"/>
      <c r="V151" s="1"/>
      <c r="W151" s="1"/>
      <c r="X151" s="1"/>
      <c r="Y151" s="1"/>
      <c r="Z151" s="1"/>
      <c r="AA151" s="1"/>
      <c r="AB151" s="1"/>
      <c r="AC151" s="1"/>
      <c r="AD151" s="1"/>
      <c r="AE151" s="19"/>
    </row>
    <row r="152" spans="1:31">
      <c r="A152" s="2">
        <v>46122</v>
      </c>
      <c r="B152" s="1">
        <v>8000070167</v>
      </c>
      <c r="C152" s="3" t="s">
        <v>275</v>
      </c>
      <c r="D152" s="3" t="s">
        <v>41</v>
      </c>
      <c r="E152" s="1">
        <v>64</v>
      </c>
      <c r="F152" s="1">
        <v>64</v>
      </c>
      <c r="G152" t="s">
        <v>276</v>
      </c>
      <c r="H152" s="7">
        <v>0</v>
      </c>
      <c r="T152" s="7">
        <v>30</v>
      </c>
      <c r="U152" s="7">
        <v>34</v>
      </c>
      <c r="AA152" s="7">
        <f>SUM(H152:Z152)</f>
        <v>64</v>
      </c>
      <c r="AB152" s="10">
        <v>999999</v>
      </c>
      <c r="AD152" s="20">
        <v>12273.28</v>
      </c>
      <c r="AE152" s="19"/>
    </row>
    <row r="153" spans="1:31" hidden="1">
      <c r="A153" s="2">
        <v>46128</v>
      </c>
      <c r="B153" s="1">
        <v>8000070176</v>
      </c>
      <c r="C153" s="3" t="s">
        <v>277</v>
      </c>
      <c r="D153" s="3" t="s">
        <v>62</v>
      </c>
      <c r="E153" s="1" t="s">
        <v>44</v>
      </c>
      <c r="F153" s="1" t="s">
        <v>44</v>
      </c>
      <c r="G153" s="1" t="s">
        <v>44</v>
      </c>
      <c r="H153" s="1"/>
      <c r="I153" s="1"/>
      <c r="J153" s="18"/>
      <c r="K153" s="1"/>
      <c r="L153" s="1"/>
      <c r="M153" s="1"/>
      <c r="N153" s="1"/>
      <c r="O153" s="1"/>
      <c r="P153" s="1"/>
      <c r="Q153" s="1"/>
      <c r="R153" s="1"/>
      <c r="S153" s="1"/>
      <c r="T153" s="18"/>
      <c r="U153" s="18"/>
      <c r="V153" s="1"/>
      <c r="W153" s="1"/>
      <c r="X153" s="1"/>
      <c r="Y153" s="1"/>
      <c r="Z153" s="1"/>
      <c r="AA153" s="1"/>
      <c r="AB153" s="1"/>
      <c r="AC153" s="1"/>
      <c r="AD153" s="1"/>
      <c r="AE153" s="19"/>
    </row>
    <row r="154" spans="1:31" hidden="1">
      <c r="A154" s="2">
        <v>46147</v>
      </c>
      <c r="B154" s="1">
        <v>8000070177</v>
      </c>
      <c r="C154" s="3" t="s">
        <v>278</v>
      </c>
      <c r="D154" s="3" t="s">
        <v>75</v>
      </c>
      <c r="E154" s="1" t="s">
        <v>44</v>
      </c>
      <c r="F154" s="1" t="s">
        <v>44</v>
      </c>
      <c r="G154" s="1" t="s">
        <v>44</v>
      </c>
      <c r="H154" s="1"/>
      <c r="I154" s="1"/>
      <c r="J154" s="18"/>
      <c r="K154" s="1"/>
      <c r="L154" s="1"/>
      <c r="M154" s="1"/>
      <c r="N154" s="1"/>
      <c r="O154" s="1"/>
      <c r="P154" s="1"/>
      <c r="Q154" s="1"/>
      <c r="R154" s="1"/>
      <c r="S154" s="1"/>
      <c r="T154" s="18"/>
      <c r="U154" s="18"/>
      <c r="V154" s="1"/>
      <c r="W154" s="1"/>
      <c r="X154" s="1"/>
      <c r="Y154" s="1"/>
      <c r="Z154" s="1"/>
      <c r="AA154" s="1"/>
      <c r="AB154" s="1"/>
      <c r="AC154" s="1"/>
      <c r="AD154" s="1"/>
      <c r="AE154" s="19"/>
    </row>
    <row r="155" spans="1:31" hidden="1">
      <c r="A155" s="2">
        <v>46114</v>
      </c>
      <c r="B155" s="1">
        <v>8000070179</v>
      </c>
      <c r="C155" s="3" t="s">
        <v>279</v>
      </c>
      <c r="D155" s="3" t="s">
        <v>41</v>
      </c>
      <c r="E155" s="1" t="s">
        <v>44</v>
      </c>
      <c r="F155" s="1" t="s">
        <v>44</v>
      </c>
      <c r="G155" s="1" t="s">
        <v>44</v>
      </c>
      <c r="H155" s="1"/>
      <c r="I155" s="1"/>
      <c r="J155" s="18"/>
      <c r="K155" s="1"/>
      <c r="L155" s="1"/>
      <c r="M155" s="1"/>
      <c r="N155" s="1"/>
      <c r="O155" s="1"/>
      <c r="P155" s="1"/>
      <c r="Q155" s="1"/>
      <c r="R155" s="1"/>
      <c r="S155" s="1"/>
      <c r="T155" s="18"/>
      <c r="U155" s="18"/>
      <c r="V155" s="1"/>
      <c r="W155" s="1"/>
      <c r="X155" s="1"/>
      <c r="Y155" s="1"/>
      <c r="Z155" s="1"/>
      <c r="AA155" s="1"/>
      <c r="AB155" s="1"/>
      <c r="AC155" s="1"/>
      <c r="AD155" s="1"/>
      <c r="AE155" s="19"/>
    </row>
    <row r="156" spans="1:31" hidden="1">
      <c r="A156" s="2">
        <v>46114</v>
      </c>
      <c r="B156" s="1">
        <v>8000070180</v>
      </c>
      <c r="C156" s="3" t="s">
        <v>280</v>
      </c>
      <c r="D156" s="3" t="s">
        <v>79</v>
      </c>
      <c r="E156" s="1" t="s">
        <v>44</v>
      </c>
      <c r="F156" s="1" t="s">
        <v>44</v>
      </c>
      <c r="G156" s="1" t="s">
        <v>44</v>
      </c>
      <c r="H156" s="1"/>
      <c r="I156" s="1"/>
      <c r="J156" s="18"/>
      <c r="K156" s="1"/>
      <c r="L156" s="1"/>
      <c r="M156" s="1"/>
      <c r="N156" s="1"/>
      <c r="O156" s="1"/>
      <c r="P156" s="1"/>
      <c r="Q156" s="1"/>
      <c r="R156" s="1"/>
      <c r="S156" s="1"/>
      <c r="T156" s="18"/>
      <c r="U156" s="18"/>
      <c r="V156" s="1"/>
      <c r="W156" s="1"/>
      <c r="X156" s="1"/>
      <c r="Y156" s="1"/>
      <c r="Z156" s="1"/>
      <c r="AA156" s="1"/>
      <c r="AB156" s="1"/>
      <c r="AC156" s="1"/>
      <c r="AD156" s="1"/>
      <c r="AE156" s="19"/>
    </row>
    <row r="157" spans="1:31">
      <c r="A157" s="2">
        <v>46122</v>
      </c>
      <c r="B157" s="1">
        <v>8000070193</v>
      </c>
      <c r="C157" s="3" t="s">
        <v>281</v>
      </c>
      <c r="D157" s="3" t="s">
        <v>105</v>
      </c>
      <c r="E157" s="1">
        <v>48</v>
      </c>
      <c r="F157" s="1">
        <v>48</v>
      </c>
      <c r="G157" t="s">
        <v>282</v>
      </c>
      <c r="H157" s="7">
        <v>0</v>
      </c>
      <c r="J157" s="7">
        <v>26</v>
      </c>
      <c r="U157" s="7">
        <v>22</v>
      </c>
      <c r="AA157" s="7">
        <f>SUM(H157:Z157)</f>
        <v>48</v>
      </c>
      <c r="AD157" s="10">
        <v>12141.76</v>
      </c>
      <c r="AE157" s="19"/>
    </row>
    <row r="158" spans="1:31" hidden="1">
      <c r="A158" s="2">
        <v>46129</v>
      </c>
      <c r="B158" s="1">
        <v>8000070223</v>
      </c>
      <c r="C158" s="3" t="s">
        <v>283</v>
      </c>
      <c r="D158" s="3" t="s">
        <v>102</v>
      </c>
      <c r="E158" s="1" t="s">
        <v>44</v>
      </c>
      <c r="F158" s="1" t="s">
        <v>44</v>
      </c>
      <c r="G158" s="1" t="s">
        <v>44</v>
      </c>
      <c r="H158" s="1"/>
      <c r="I158" s="1"/>
      <c r="J158" s="18"/>
      <c r="K158" s="1"/>
      <c r="L158" s="1"/>
      <c r="M158" s="1"/>
      <c r="N158" s="1"/>
      <c r="O158" s="1"/>
      <c r="P158" s="1"/>
      <c r="Q158" s="1"/>
      <c r="R158" s="1"/>
      <c r="S158" s="1"/>
      <c r="T158" s="18"/>
      <c r="U158" s="18"/>
      <c r="V158" s="1"/>
      <c r="W158" s="1"/>
      <c r="X158" s="1"/>
      <c r="Y158" s="1"/>
      <c r="Z158" s="1"/>
      <c r="AA158" s="1"/>
      <c r="AB158" s="1"/>
      <c r="AC158" s="1"/>
      <c r="AD158" s="1"/>
      <c r="AE158" s="19"/>
    </row>
    <row r="159" spans="1:31" hidden="1">
      <c r="A159" s="2">
        <v>46142</v>
      </c>
      <c r="B159" s="1">
        <v>8000070252</v>
      </c>
      <c r="C159" s="3" t="s">
        <v>284</v>
      </c>
      <c r="D159" s="3" t="s">
        <v>203</v>
      </c>
      <c r="E159" s="1" t="s">
        <v>44</v>
      </c>
      <c r="F159" s="1" t="s">
        <v>44</v>
      </c>
      <c r="G159" s="1" t="s">
        <v>44</v>
      </c>
      <c r="H159" s="1"/>
      <c r="I159" s="1"/>
      <c r="J159" s="18"/>
      <c r="K159" s="1"/>
      <c r="L159" s="1"/>
      <c r="M159" s="1"/>
      <c r="N159" s="1"/>
      <c r="O159" s="1"/>
      <c r="P159" s="1"/>
      <c r="Q159" s="1"/>
      <c r="R159" s="1"/>
      <c r="S159" s="1"/>
      <c r="T159" s="18"/>
      <c r="U159" s="18"/>
      <c r="V159" s="1"/>
      <c r="W159" s="1"/>
      <c r="X159" s="1"/>
      <c r="Y159" s="1"/>
      <c r="Z159" s="1"/>
      <c r="AA159" s="1"/>
      <c r="AB159" s="1"/>
      <c r="AC159" s="1"/>
      <c r="AD159" s="1"/>
      <c r="AE159" s="19"/>
    </row>
    <row r="160" spans="1:31" hidden="1">
      <c r="A160" s="2">
        <v>46125</v>
      </c>
      <c r="B160" s="1">
        <v>8000070263</v>
      </c>
      <c r="C160" s="3" t="s">
        <v>285</v>
      </c>
      <c r="D160" s="3" t="s">
        <v>41</v>
      </c>
      <c r="E160" s="1" t="s">
        <v>44</v>
      </c>
      <c r="F160" s="1" t="s">
        <v>44</v>
      </c>
      <c r="G160" s="1" t="s">
        <v>44</v>
      </c>
      <c r="H160" s="1"/>
      <c r="I160" s="1"/>
      <c r="J160" s="18"/>
      <c r="K160" s="1"/>
      <c r="L160" s="1"/>
      <c r="M160" s="1"/>
      <c r="N160" s="1"/>
      <c r="O160" s="1"/>
      <c r="P160" s="1"/>
      <c r="Q160" s="1"/>
      <c r="R160" s="1"/>
      <c r="S160" s="1"/>
      <c r="T160" s="18"/>
      <c r="U160" s="18"/>
      <c r="V160" s="1"/>
      <c r="W160" s="1"/>
      <c r="X160" s="1"/>
      <c r="Y160" s="1"/>
      <c r="Z160" s="1"/>
      <c r="AA160" s="1"/>
      <c r="AB160" s="1"/>
      <c r="AC160" s="1"/>
      <c r="AD160" s="1"/>
      <c r="AE160" s="19"/>
    </row>
    <row r="161" spans="1:31" hidden="1">
      <c r="A161" s="2">
        <v>46126</v>
      </c>
      <c r="B161" s="1">
        <v>8000070355</v>
      </c>
      <c r="C161" s="3" t="s">
        <v>286</v>
      </c>
      <c r="D161" s="3" t="s">
        <v>136</v>
      </c>
      <c r="E161" s="1" t="s">
        <v>44</v>
      </c>
      <c r="F161" s="1" t="s">
        <v>44</v>
      </c>
      <c r="G161" s="1" t="s">
        <v>44</v>
      </c>
      <c r="H161" s="1"/>
      <c r="I161" s="1"/>
      <c r="J161" s="18"/>
      <c r="K161" s="1"/>
      <c r="L161" s="1"/>
      <c r="M161" s="1"/>
      <c r="N161" s="1"/>
      <c r="O161" s="1"/>
      <c r="P161" s="1"/>
      <c r="Q161" s="1"/>
      <c r="R161" s="1"/>
      <c r="S161" s="1"/>
      <c r="T161" s="18"/>
      <c r="U161" s="18"/>
      <c r="V161" s="1"/>
      <c r="W161" s="1"/>
      <c r="X161" s="1"/>
      <c r="Y161" s="1"/>
      <c r="Z161" s="1"/>
      <c r="AA161" s="1"/>
      <c r="AB161" s="1"/>
      <c r="AC161" s="1"/>
      <c r="AD161" s="1"/>
      <c r="AE161" s="19"/>
    </row>
    <row r="162" spans="1:31">
      <c r="A162" s="2">
        <v>46134</v>
      </c>
      <c r="B162" s="1">
        <v>8000070370</v>
      </c>
      <c r="C162" s="3" t="s">
        <v>287</v>
      </c>
      <c r="D162" s="3" t="s">
        <v>272</v>
      </c>
      <c r="E162" s="1">
        <v>44</v>
      </c>
      <c r="F162" s="1">
        <v>67.98</v>
      </c>
      <c r="G162" t="s">
        <v>288</v>
      </c>
      <c r="H162" s="7">
        <v>26</v>
      </c>
      <c r="U162" s="7">
        <v>18</v>
      </c>
      <c r="AA162" s="7">
        <f>SUM(H162:Z162)</f>
        <v>44</v>
      </c>
      <c r="AB162" s="10">
        <v>67.89</v>
      </c>
      <c r="AD162" s="10">
        <v>11884.08</v>
      </c>
      <c r="AE162" s="19">
        <f>Table8[[#This Row],[Total horas DME]]-Table8[[#This Row],[Horas sem Conversão]]</f>
        <v>0</v>
      </c>
    </row>
    <row r="163" spans="1:31" hidden="1">
      <c r="A163" s="2">
        <v>46121</v>
      </c>
      <c r="B163" s="1">
        <v>8000070376</v>
      </c>
      <c r="C163" s="3" t="s">
        <v>289</v>
      </c>
      <c r="D163" s="3" t="s">
        <v>203</v>
      </c>
      <c r="E163" s="1" t="s">
        <v>44</v>
      </c>
      <c r="F163" s="1" t="s">
        <v>44</v>
      </c>
      <c r="G163" s="1" t="s">
        <v>44</v>
      </c>
      <c r="H163" s="1"/>
      <c r="I163" s="1"/>
      <c r="J163" s="18"/>
      <c r="K163" s="1"/>
      <c r="L163" s="1"/>
      <c r="M163" s="1"/>
      <c r="N163" s="1"/>
      <c r="O163" s="1"/>
      <c r="P163" s="1"/>
      <c r="Q163" s="1"/>
      <c r="R163" s="1"/>
      <c r="S163" s="1"/>
      <c r="T163" s="18"/>
      <c r="U163" s="18"/>
      <c r="V163" s="1"/>
      <c r="W163" s="1"/>
      <c r="X163" s="1"/>
      <c r="Y163" s="1"/>
      <c r="Z163" s="1"/>
      <c r="AA163" s="1"/>
      <c r="AB163" s="1"/>
      <c r="AC163" s="1"/>
      <c r="AD163" s="1"/>
      <c r="AE163" s="19"/>
    </row>
    <row r="164" spans="1:31">
      <c r="A164" s="2">
        <v>46127</v>
      </c>
      <c r="B164" s="1">
        <v>8000070412</v>
      </c>
      <c r="C164" s="3" t="s">
        <v>290</v>
      </c>
      <c r="D164" s="3" t="s">
        <v>265</v>
      </c>
      <c r="E164" s="1">
        <v>42</v>
      </c>
      <c r="F164" s="1">
        <v>61.38</v>
      </c>
      <c r="G164" t="s">
        <v>291</v>
      </c>
      <c r="H164" s="7">
        <v>0</v>
      </c>
      <c r="J164" s="7">
        <v>34</v>
      </c>
      <c r="U164" s="7">
        <v>8</v>
      </c>
      <c r="AA164" s="7">
        <f>SUM(H164:Z164)</f>
        <v>42</v>
      </c>
      <c r="AB164" s="10">
        <v>61.38</v>
      </c>
      <c r="AD164" s="10">
        <v>10813.22</v>
      </c>
      <c r="AE164" s="19"/>
    </row>
    <row r="165" spans="1:31" hidden="1">
      <c r="A165" s="2">
        <v>46111</v>
      </c>
      <c r="B165" s="1">
        <v>8000070425</v>
      </c>
      <c r="C165" s="3" t="s">
        <v>292</v>
      </c>
      <c r="D165" s="3" t="s">
        <v>41</v>
      </c>
      <c r="E165" s="1" t="s">
        <v>44</v>
      </c>
      <c r="F165" s="1" t="s">
        <v>44</v>
      </c>
      <c r="G165" s="1" t="s">
        <v>44</v>
      </c>
      <c r="H165" s="1"/>
      <c r="I165" s="1"/>
      <c r="J165" s="18"/>
      <c r="K165" s="1"/>
      <c r="L165" s="1"/>
      <c r="M165" s="1"/>
      <c r="N165" s="1"/>
      <c r="O165" s="1"/>
      <c r="P165" s="1"/>
      <c r="Q165" s="1"/>
      <c r="R165" s="1"/>
      <c r="S165" s="1"/>
      <c r="T165" s="18"/>
      <c r="U165" s="18"/>
      <c r="V165" s="1"/>
      <c r="W165" s="1"/>
      <c r="X165" s="1"/>
      <c r="Y165" s="1"/>
      <c r="Z165" s="1"/>
      <c r="AA165" s="1"/>
      <c r="AB165" s="1"/>
      <c r="AC165" s="1"/>
      <c r="AD165" s="1"/>
      <c r="AE165" s="19"/>
    </row>
    <row r="166" spans="1:31" hidden="1">
      <c r="A166" s="2">
        <v>46126</v>
      </c>
      <c r="B166" s="1">
        <v>8000070462</v>
      </c>
      <c r="C166" s="3" t="s">
        <v>293</v>
      </c>
      <c r="D166" s="3" t="s">
        <v>54</v>
      </c>
      <c r="E166" s="1" t="s">
        <v>44</v>
      </c>
      <c r="F166" s="1" t="s">
        <v>44</v>
      </c>
      <c r="G166" s="1" t="s">
        <v>44</v>
      </c>
      <c r="H166" s="1"/>
      <c r="I166" s="1"/>
      <c r="J166" s="18"/>
      <c r="K166" s="1"/>
      <c r="L166" s="1"/>
      <c r="M166" s="1"/>
      <c r="N166" s="1"/>
      <c r="O166" s="1"/>
      <c r="P166" s="1"/>
      <c r="Q166" s="1"/>
      <c r="R166" s="1"/>
      <c r="S166" s="1"/>
      <c r="T166" s="18"/>
      <c r="U166" s="18"/>
      <c r="V166" s="1"/>
      <c r="W166" s="1"/>
      <c r="X166" s="1"/>
      <c r="Y166" s="1"/>
      <c r="Z166" s="1"/>
      <c r="AA166" s="1"/>
      <c r="AB166" s="1"/>
      <c r="AC166" s="1"/>
      <c r="AD166" s="1"/>
      <c r="AE166" s="19"/>
    </row>
    <row r="167" spans="1:31" hidden="1">
      <c r="A167" s="2">
        <v>46129</v>
      </c>
      <c r="B167" s="1">
        <v>8000070464</v>
      </c>
      <c r="C167" s="3" t="s">
        <v>294</v>
      </c>
      <c r="D167" s="3" t="s">
        <v>203</v>
      </c>
      <c r="E167" s="1" t="s">
        <v>44</v>
      </c>
      <c r="F167" s="1" t="s">
        <v>44</v>
      </c>
      <c r="G167" s="1" t="s">
        <v>44</v>
      </c>
      <c r="H167" s="1"/>
      <c r="I167" s="1"/>
      <c r="J167" s="18"/>
      <c r="K167" s="1"/>
      <c r="L167" s="1"/>
      <c r="M167" s="1"/>
      <c r="N167" s="1"/>
      <c r="O167" s="1"/>
      <c r="P167" s="1"/>
      <c r="Q167" s="1"/>
      <c r="R167" s="1"/>
      <c r="S167" s="1"/>
      <c r="T167" s="18"/>
      <c r="U167" s="18"/>
      <c r="V167" s="1"/>
      <c r="W167" s="1"/>
      <c r="X167" s="1"/>
      <c r="Y167" s="1"/>
      <c r="Z167" s="1"/>
      <c r="AA167" s="1"/>
      <c r="AB167" s="1"/>
      <c r="AC167" s="1"/>
      <c r="AD167" s="1"/>
      <c r="AE167" s="19"/>
    </row>
    <row r="168" spans="1:31" hidden="1">
      <c r="A168" s="2">
        <v>46125</v>
      </c>
      <c r="B168" s="1">
        <v>8000070493</v>
      </c>
      <c r="C168" s="3" t="s">
        <v>295</v>
      </c>
      <c r="D168" s="3" t="s">
        <v>158</v>
      </c>
      <c r="E168" s="1" t="s">
        <v>44</v>
      </c>
      <c r="F168" s="1" t="s">
        <v>44</v>
      </c>
      <c r="G168" s="1" t="s">
        <v>44</v>
      </c>
      <c r="H168" s="1"/>
      <c r="I168" s="1"/>
      <c r="J168" s="18"/>
      <c r="K168" s="1"/>
      <c r="L168" s="1"/>
      <c r="M168" s="1"/>
      <c r="N168" s="1"/>
      <c r="O168" s="1"/>
      <c r="P168" s="1"/>
      <c r="Q168" s="1"/>
      <c r="R168" s="1"/>
      <c r="S168" s="1"/>
      <c r="T168" s="18"/>
      <c r="U168" s="18"/>
      <c r="V168" s="1"/>
      <c r="W168" s="1"/>
      <c r="X168" s="1"/>
      <c r="Y168" s="1"/>
      <c r="Z168" s="1"/>
      <c r="AA168" s="1"/>
      <c r="AB168" s="1"/>
      <c r="AC168" s="1"/>
      <c r="AD168" s="1"/>
      <c r="AE168" s="19"/>
    </row>
    <row r="169" spans="1:31">
      <c r="A169" s="2">
        <v>46136</v>
      </c>
      <c r="B169" s="1">
        <v>8000070512</v>
      </c>
      <c r="C169" s="3" t="s">
        <v>296</v>
      </c>
      <c r="D169" s="3" t="s">
        <v>102</v>
      </c>
      <c r="E169" s="1">
        <v>54</v>
      </c>
      <c r="F169" s="1">
        <v>54</v>
      </c>
      <c r="G169" t="s">
        <v>297</v>
      </c>
      <c r="H169" s="7">
        <v>0</v>
      </c>
      <c r="T169" s="7">
        <v>22</v>
      </c>
      <c r="U169" s="7">
        <v>32</v>
      </c>
      <c r="AA169" s="7">
        <f>SUM(H169:Z169)</f>
        <v>54</v>
      </c>
      <c r="AB169" s="10">
        <v>999999</v>
      </c>
      <c r="AD169" s="10">
        <v>12940.42</v>
      </c>
      <c r="AE169" s="19"/>
    </row>
    <row r="170" spans="1:31" hidden="1">
      <c r="A170" s="2">
        <v>46127</v>
      </c>
      <c r="B170" s="1">
        <v>8000070559</v>
      </c>
      <c r="C170" s="3" t="s">
        <v>298</v>
      </c>
      <c r="D170" s="3" t="s">
        <v>75</v>
      </c>
      <c r="E170" s="1" t="s">
        <v>44</v>
      </c>
      <c r="F170" s="1" t="s">
        <v>44</v>
      </c>
      <c r="G170" s="1" t="s">
        <v>44</v>
      </c>
      <c r="H170" s="1"/>
      <c r="I170" s="1"/>
      <c r="J170" s="18"/>
      <c r="K170" s="1"/>
      <c r="L170" s="1"/>
      <c r="M170" s="1"/>
      <c r="N170" s="1"/>
      <c r="O170" s="1"/>
      <c r="P170" s="1"/>
      <c r="Q170" s="1"/>
      <c r="R170" s="1"/>
      <c r="S170" s="1"/>
      <c r="T170" s="18"/>
      <c r="U170" s="18"/>
      <c r="V170" s="1"/>
      <c r="W170" s="1"/>
      <c r="X170" s="1"/>
      <c r="Y170" s="1"/>
      <c r="Z170" s="1"/>
      <c r="AA170" s="1"/>
      <c r="AB170" s="1"/>
      <c r="AC170" s="1"/>
      <c r="AD170" s="1"/>
      <c r="AE170" s="19"/>
    </row>
    <row r="171" spans="1:31" hidden="1">
      <c r="A171" s="2">
        <v>46128</v>
      </c>
      <c r="B171" s="1">
        <v>8000070560</v>
      </c>
      <c r="C171" s="3" t="s">
        <v>299</v>
      </c>
      <c r="D171" s="3" t="s">
        <v>203</v>
      </c>
      <c r="E171" s="1" t="s">
        <v>44</v>
      </c>
      <c r="F171" s="1" t="s">
        <v>44</v>
      </c>
      <c r="G171" s="1" t="s">
        <v>44</v>
      </c>
      <c r="H171" s="1"/>
      <c r="I171" s="1"/>
      <c r="J171" s="18"/>
      <c r="K171" s="1"/>
      <c r="L171" s="1"/>
      <c r="M171" s="1"/>
      <c r="N171" s="1"/>
      <c r="O171" s="1"/>
      <c r="P171" s="1"/>
      <c r="Q171" s="1"/>
      <c r="R171" s="1"/>
      <c r="S171" s="1"/>
      <c r="T171" s="18"/>
      <c r="U171" s="18"/>
      <c r="V171" s="1"/>
      <c r="W171" s="1"/>
      <c r="X171" s="1"/>
      <c r="Y171" s="1"/>
      <c r="Z171" s="1"/>
      <c r="AA171" s="1"/>
      <c r="AB171" s="1"/>
      <c r="AC171" s="1"/>
      <c r="AD171" s="1"/>
      <c r="AE171" s="19"/>
    </row>
    <row r="172" spans="1:31">
      <c r="A172" s="2">
        <v>46118</v>
      </c>
      <c r="B172" s="1">
        <v>8000070570</v>
      </c>
      <c r="C172" s="3" t="s">
        <v>300</v>
      </c>
      <c r="D172" s="3" t="s">
        <v>41</v>
      </c>
      <c r="E172" s="1">
        <v>48</v>
      </c>
      <c r="F172" s="1">
        <v>48</v>
      </c>
      <c r="G172" t="s">
        <v>301</v>
      </c>
      <c r="H172" s="7">
        <v>0</v>
      </c>
      <c r="T172" s="7">
        <v>31</v>
      </c>
      <c r="U172" s="7">
        <v>17</v>
      </c>
      <c r="AA172" s="7">
        <f t="shared" ref="AA172:AA173" si="17">SUM(H172:Z172)</f>
        <v>48</v>
      </c>
      <c r="AD172" s="20">
        <v>9204.9600000000009</v>
      </c>
      <c r="AE172" s="19"/>
    </row>
    <row r="173" spans="1:31">
      <c r="A173" s="2">
        <v>46128</v>
      </c>
      <c r="B173" s="1">
        <v>8000070578</v>
      </c>
      <c r="C173" s="3" t="s">
        <v>302</v>
      </c>
      <c r="D173" s="3" t="s">
        <v>41</v>
      </c>
      <c r="E173" s="1">
        <v>32</v>
      </c>
      <c r="F173" s="1">
        <v>32</v>
      </c>
      <c r="G173" t="s">
        <v>303</v>
      </c>
      <c r="H173" s="7">
        <v>0</v>
      </c>
      <c r="T173" s="7">
        <v>21</v>
      </c>
      <c r="U173" s="7">
        <v>11</v>
      </c>
      <c r="AA173" s="7">
        <f t="shared" si="17"/>
        <v>32</v>
      </c>
      <c r="AB173" s="10">
        <v>999999</v>
      </c>
      <c r="AD173" s="20">
        <v>6136.64</v>
      </c>
      <c r="AE173" s="19"/>
    </row>
    <row r="174" spans="1:31" hidden="1">
      <c r="A174" s="2">
        <v>46134</v>
      </c>
      <c r="B174" s="1">
        <v>8000070598</v>
      </c>
      <c r="C174" s="3" t="s">
        <v>304</v>
      </c>
      <c r="D174" s="3" t="s">
        <v>75</v>
      </c>
      <c r="E174" s="1" t="s">
        <v>44</v>
      </c>
      <c r="F174" s="1" t="s">
        <v>44</v>
      </c>
      <c r="G174" s="1" t="s">
        <v>44</v>
      </c>
      <c r="H174" s="1"/>
      <c r="I174" s="1"/>
      <c r="J174" s="18"/>
      <c r="K174" s="1"/>
      <c r="L174" s="1"/>
      <c r="M174" s="1"/>
      <c r="N174" s="1"/>
      <c r="O174" s="1"/>
      <c r="P174" s="1"/>
      <c r="Q174" s="1"/>
      <c r="R174" s="1"/>
      <c r="S174" s="1"/>
      <c r="T174" s="18"/>
      <c r="U174" s="18"/>
      <c r="V174" s="1"/>
      <c r="W174" s="1"/>
      <c r="X174" s="1"/>
      <c r="Y174" s="1"/>
      <c r="Z174" s="1"/>
      <c r="AA174" s="1"/>
      <c r="AB174" s="1"/>
      <c r="AC174" s="1"/>
      <c r="AD174" s="1"/>
      <c r="AE174" s="19"/>
    </row>
    <row r="175" spans="1:31">
      <c r="A175" s="2">
        <v>46129</v>
      </c>
      <c r="B175" s="1">
        <v>8000070599</v>
      </c>
      <c r="C175" s="3" t="s">
        <v>305</v>
      </c>
      <c r="D175" s="3" t="s">
        <v>265</v>
      </c>
      <c r="E175" s="1">
        <v>64</v>
      </c>
      <c r="F175" s="1">
        <v>64</v>
      </c>
      <c r="G175" t="s">
        <v>306</v>
      </c>
      <c r="H175" s="7">
        <v>34</v>
      </c>
      <c r="U175" s="7">
        <v>30</v>
      </c>
      <c r="AA175" s="7">
        <f t="shared" ref="AA175:AA176" si="18">SUM(H175:Z175)</f>
        <v>64</v>
      </c>
      <c r="AB175" s="10">
        <v>89.05</v>
      </c>
      <c r="AD175" s="10">
        <v>15688.04</v>
      </c>
      <c r="AE175" s="19">
        <f>Table8[[#This Row],[Total horas DME]]-Table8[[#This Row],[Horas sem Conversão]]</f>
        <v>0</v>
      </c>
    </row>
    <row r="176" spans="1:31">
      <c r="A176" s="2">
        <v>46135</v>
      </c>
      <c r="B176" s="1">
        <v>8000070611</v>
      </c>
      <c r="C176" s="3" t="s">
        <v>307</v>
      </c>
      <c r="D176" s="3" t="s">
        <v>41</v>
      </c>
      <c r="E176" s="1">
        <v>62</v>
      </c>
      <c r="F176" s="1">
        <v>62</v>
      </c>
      <c r="G176" t="s">
        <v>247</v>
      </c>
      <c r="AA176" s="7">
        <f t="shared" si="18"/>
        <v>0</v>
      </c>
      <c r="AD176" s="20">
        <v>11889.74</v>
      </c>
      <c r="AE176" s="19">
        <f>Table8[[#This Row],[Total horas DME]]-Table8[[#This Row],[Horas sem Conversão]]</f>
        <v>-62</v>
      </c>
    </row>
    <row r="177" spans="1:31" hidden="1">
      <c r="A177" s="2">
        <v>46142</v>
      </c>
      <c r="B177" s="1">
        <v>8000070614</v>
      </c>
      <c r="C177" s="3" t="s">
        <v>308</v>
      </c>
      <c r="D177" s="3" t="s">
        <v>75</v>
      </c>
      <c r="E177" s="1" t="s">
        <v>44</v>
      </c>
      <c r="F177" s="1" t="s">
        <v>44</v>
      </c>
      <c r="G177" s="1" t="s">
        <v>44</v>
      </c>
      <c r="H177" s="1"/>
      <c r="I177" s="1"/>
      <c r="J177" s="18"/>
      <c r="K177" s="1"/>
      <c r="L177" s="1"/>
      <c r="M177" s="1"/>
      <c r="N177" s="1"/>
      <c r="O177" s="1"/>
      <c r="P177" s="1"/>
      <c r="Q177" s="1"/>
      <c r="R177" s="1"/>
      <c r="S177" s="1"/>
      <c r="T177" s="18"/>
      <c r="U177" s="18"/>
      <c r="V177" s="1"/>
      <c r="W177" s="1"/>
      <c r="X177" s="1"/>
      <c r="Y177" s="1"/>
      <c r="Z177" s="1"/>
      <c r="AA177" s="1"/>
      <c r="AB177" s="1"/>
      <c r="AC177" s="1"/>
      <c r="AD177" s="1"/>
      <c r="AE177" s="19"/>
    </row>
    <row r="178" spans="1:31" hidden="1">
      <c r="A178" s="2">
        <v>46168</v>
      </c>
      <c r="B178" s="1">
        <v>8000070643</v>
      </c>
      <c r="C178" s="3" t="s">
        <v>309</v>
      </c>
      <c r="D178" s="3" t="s">
        <v>41</v>
      </c>
      <c r="E178" s="1" t="s">
        <v>44</v>
      </c>
      <c r="F178" s="1" t="s">
        <v>44</v>
      </c>
      <c r="G178" s="1" t="s">
        <v>44</v>
      </c>
      <c r="H178" s="1"/>
      <c r="I178" s="1"/>
      <c r="J178" s="18"/>
      <c r="K178" s="1"/>
      <c r="L178" s="1"/>
      <c r="M178" s="1"/>
      <c r="N178" s="1"/>
      <c r="O178" s="1"/>
      <c r="P178" s="1"/>
      <c r="Q178" s="1"/>
      <c r="R178" s="1"/>
      <c r="S178" s="1"/>
      <c r="T178" s="18"/>
      <c r="U178" s="18"/>
      <c r="V178" s="1"/>
      <c r="W178" s="1"/>
      <c r="X178" s="1"/>
      <c r="Y178" s="1"/>
      <c r="Z178" s="1"/>
      <c r="AA178" s="1"/>
      <c r="AB178" s="1"/>
      <c r="AC178" s="1"/>
      <c r="AD178" s="1"/>
      <c r="AE178" s="19"/>
    </row>
    <row r="179" spans="1:31" hidden="1">
      <c r="A179" s="2">
        <v>46178</v>
      </c>
      <c r="B179" s="1">
        <v>8000070674</v>
      </c>
      <c r="C179" s="3" t="s">
        <v>310</v>
      </c>
      <c r="D179" s="3" t="s">
        <v>41</v>
      </c>
      <c r="E179" s="1" t="s">
        <v>44</v>
      </c>
      <c r="F179" s="1" t="s">
        <v>44</v>
      </c>
      <c r="G179" s="1" t="s">
        <v>44</v>
      </c>
      <c r="H179" s="1"/>
      <c r="I179" s="1"/>
      <c r="J179" s="18"/>
      <c r="K179" s="1"/>
      <c r="L179" s="1"/>
      <c r="M179" s="1"/>
      <c r="N179" s="1"/>
      <c r="O179" s="1"/>
      <c r="P179" s="1"/>
      <c r="Q179" s="1"/>
      <c r="R179" s="1"/>
      <c r="S179" s="1"/>
      <c r="T179" s="18"/>
      <c r="U179" s="18"/>
      <c r="V179" s="1"/>
      <c r="W179" s="1"/>
      <c r="X179" s="1"/>
      <c r="Y179" s="1"/>
      <c r="Z179" s="1"/>
      <c r="AA179" s="1"/>
      <c r="AB179" s="1"/>
      <c r="AC179" s="1"/>
      <c r="AD179" s="1"/>
      <c r="AE179" s="19"/>
    </row>
    <row r="180" spans="1:31">
      <c r="A180" s="2">
        <v>46128</v>
      </c>
      <c r="B180" s="1">
        <v>8000070747</v>
      </c>
      <c r="C180" s="3" t="s">
        <v>311</v>
      </c>
      <c r="D180" s="3" t="s">
        <v>41</v>
      </c>
      <c r="E180" s="1">
        <v>30</v>
      </c>
      <c r="F180" s="1">
        <v>30</v>
      </c>
      <c r="G180" t="s">
        <v>180</v>
      </c>
      <c r="H180" s="7">
        <v>0</v>
      </c>
      <c r="T180" s="7">
        <v>22</v>
      </c>
      <c r="U180" s="7">
        <v>18</v>
      </c>
      <c r="AA180" s="7">
        <f t="shared" ref="AA180:AA181" si="19">SUM(H180:Z180)</f>
        <v>40</v>
      </c>
      <c r="AB180" s="10">
        <v>999999</v>
      </c>
      <c r="AD180" s="20">
        <v>5753.1</v>
      </c>
      <c r="AE180" s="19">
        <f>Table8[[#This Row],[Total horas DME]]-Table8[[#This Row],[Horas sem Conversão]]</f>
        <v>10</v>
      </c>
    </row>
    <row r="181" spans="1:31">
      <c r="A181" s="2">
        <v>46121</v>
      </c>
      <c r="B181" s="1">
        <v>8000070757</v>
      </c>
      <c r="C181" s="3" t="s">
        <v>312</v>
      </c>
      <c r="D181" s="3" t="s">
        <v>79</v>
      </c>
      <c r="E181" s="1">
        <v>50.54</v>
      </c>
      <c r="F181" s="1">
        <v>50.54</v>
      </c>
      <c r="G181" t="s">
        <v>313</v>
      </c>
      <c r="H181" s="7">
        <v>20</v>
      </c>
      <c r="U181" s="7">
        <v>16</v>
      </c>
      <c r="AA181" s="7">
        <f t="shared" si="19"/>
        <v>36</v>
      </c>
      <c r="AB181" s="10">
        <v>50.54</v>
      </c>
      <c r="AD181" s="10">
        <v>8400.36</v>
      </c>
      <c r="AE181" s="19">
        <f>Table8[[#This Row],[Total horas DME]]-Table8[[#This Row],[Horas sem Conversão]]</f>
        <v>-14.54</v>
      </c>
    </row>
    <row r="182" spans="1:31" hidden="1">
      <c r="A182" s="2">
        <v>46129</v>
      </c>
      <c r="B182" s="1">
        <v>8000070805</v>
      </c>
      <c r="C182" s="3" t="s">
        <v>314</v>
      </c>
      <c r="D182" s="3" t="s">
        <v>203</v>
      </c>
      <c r="E182" s="1" t="s">
        <v>44</v>
      </c>
      <c r="F182" s="1" t="s">
        <v>44</v>
      </c>
      <c r="G182" s="1" t="s">
        <v>44</v>
      </c>
      <c r="H182" s="1"/>
      <c r="I182" s="1"/>
      <c r="J182" s="18"/>
      <c r="K182" s="1"/>
      <c r="L182" s="1"/>
      <c r="M182" s="1"/>
      <c r="N182" s="1"/>
      <c r="O182" s="1"/>
      <c r="P182" s="1"/>
      <c r="Q182" s="1"/>
      <c r="R182" s="1"/>
      <c r="S182" s="1"/>
      <c r="T182" s="18"/>
      <c r="U182" s="18"/>
      <c r="V182" s="1"/>
      <c r="W182" s="1"/>
      <c r="X182" s="1"/>
      <c r="Y182" s="1"/>
      <c r="Z182" s="1"/>
      <c r="AA182" s="1"/>
      <c r="AB182" s="1"/>
      <c r="AC182" s="1"/>
      <c r="AD182" s="1"/>
      <c r="AE182" s="19"/>
    </row>
    <row r="183" spans="1:31">
      <c r="A183" s="2">
        <v>46147</v>
      </c>
      <c r="B183" s="1">
        <v>8000070811</v>
      </c>
      <c r="C183" s="3" t="s">
        <v>315</v>
      </c>
      <c r="D183" s="3" t="s">
        <v>41</v>
      </c>
      <c r="E183" s="1">
        <v>119</v>
      </c>
      <c r="F183" s="1">
        <v>119</v>
      </c>
      <c r="G183" t="s">
        <v>316</v>
      </c>
      <c r="H183" s="7">
        <v>0</v>
      </c>
      <c r="T183" s="7">
        <v>44</v>
      </c>
      <c r="U183" s="7">
        <v>75</v>
      </c>
      <c r="AA183" s="7">
        <f>SUM(H183:Z183)</f>
        <v>119</v>
      </c>
      <c r="AB183" s="10">
        <v>999999</v>
      </c>
      <c r="AD183" s="20">
        <v>22820.63</v>
      </c>
      <c r="AE183" s="19"/>
    </row>
    <row r="184" spans="1:31" hidden="1">
      <c r="A184" s="2">
        <v>46153</v>
      </c>
      <c r="B184" s="1">
        <v>8000070910</v>
      </c>
      <c r="C184" s="3" t="s">
        <v>317</v>
      </c>
      <c r="D184" s="3" t="s">
        <v>203</v>
      </c>
      <c r="E184" s="1" t="s">
        <v>44</v>
      </c>
      <c r="F184" s="1" t="s">
        <v>44</v>
      </c>
      <c r="G184" s="1" t="s">
        <v>44</v>
      </c>
      <c r="H184" s="1"/>
      <c r="I184" s="1"/>
      <c r="J184" s="18"/>
      <c r="K184" s="1"/>
      <c r="L184" s="1"/>
      <c r="M184" s="1"/>
      <c r="N184" s="1"/>
      <c r="O184" s="1"/>
      <c r="P184" s="1"/>
      <c r="Q184" s="1"/>
      <c r="R184" s="1"/>
      <c r="S184" s="1"/>
      <c r="T184" s="18"/>
      <c r="U184" s="18"/>
      <c r="V184" s="1"/>
      <c r="W184" s="1"/>
      <c r="X184" s="1"/>
      <c r="Y184" s="1"/>
      <c r="Z184" s="1"/>
      <c r="AA184" s="1"/>
      <c r="AB184" s="1"/>
      <c r="AC184" s="1"/>
      <c r="AD184" s="1"/>
      <c r="AE184" s="19"/>
    </row>
    <row r="185" spans="1:31" hidden="1">
      <c r="A185" s="2">
        <v>46129</v>
      </c>
      <c r="B185" s="1">
        <v>8000070927</v>
      </c>
      <c r="C185" s="3" t="s">
        <v>318</v>
      </c>
      <c r="D185" s="3" t="s">
        <v>105</v>
      </c>
      <c r="E185" s="1" t="s">
        <v>44</v>
      </c>
      <c r="F185" s="1" t="s">
        <v>44</v>
      </c>
      <c r="G185" s="1" t="s">
        <v>44</v>
      </c>
      <c r="H185" s="1"/>
      <c r="I185" s="1"/>
      <c r="J185" s="18"/>
      <c r="K185" s="1"/>
      <c r="L185" s="1"/>
      <c r="M185" s="1"/>
      <c r="N185" s="1"/>
      <c r="O185" s="1"/>
      <c r="P185" s="1"/>
      <c r="Q185" s="1"/>
      <c r="R185" s="1"/>
      <c r="S185" s="1"/>
      <c r="T185" s="18"/>
      <c r="U185" s="18"/>
      <c r="V185" s="1"/>
      <c r="W185" s="1"/>
      <c r="X185" s="1"/>
      <c r="Y185" s="1"/>
      <c r="Z185" s="1"/>
      <c r="AA185" s="1"/>
      <c r="AB185" s="1"/>
      <c r="AC185" s="1"/>
      <c r="AD185" s="1"/>
      <c r="AE185" s="19"/>
    </row>
    <row r="186" spans="1:31" hidden="1">
      <c r="A186" s="2">
        <v>46136</v>
      </c>
      <c r="B186" s="1">
        <v>8000070937</v>
      </c>
      <c r="C186" s="3" t="s">
        <v>319</v>
      </c>
      <c r="D186" s="3" t="s">
        <v>136</v>
      </c>
      <c r="E186" s="1" t="s">
        <v>44</v>
      </c>
      <c r="F186" s="1" t="s">
        <v>44</v>
      </c>
      <c r="G186" s="1" t="s">
        <v>44</v>
      </c>
      <c r="H186" s="1"/>
      <c r="I186" s="1"/>
      <c r="J186" s="18"/>
      <c r="K186" s="1"/>
      <c r="L186" s="1"/>
      <c r="M186" s="1"/>
      <c r="N186" s="1"/>
      <c r="O186" s="1"/>
      <c r="P186" s="1"/>
      <c r="Q186" s="1"/>
      <c r="R186" s="1"/>
      <c r="S186" s="1"/>
      <c r="T186" s="18"/>
      <c r="U186" s="18"/>
      <c r="V186" s="1"/>
      <c r="W186" s="1"/>
      <c r="X186" s="1"/>
      <c r="Y186" s="1"/>
      <c r="Z186" s="1"/>
      <c r="AA186" s="1"/>
      <c r="AB186" s="1"/>
      <c r="AC186" s="1"/>
      <c r="AD186" s="1"/>
      <c r="AE186" s="19"/>
    </row>
    <row r="187" spans="1:31" hidden="1">
      <c r="A187" s="2">
        <v>46134</v>
      </c>
      <c r="B187" s="1">
        <v>8000070957</v>
      </c>
      <c r="C187" s="3" t="s">
        <v>320</v>
      </c>
      <c r="D187" s="3" t="s">
        <v>41</v>
      </c>
      <c r="E187" s="1" t="s">
        <v>44</v>
      </c>
      <c r="F187" s="1" t="s">
        <v>44</v>
      </c>
      <c r="G187" s="1" t="s">
        <v>44</v>
      </c>
      <c r="H187" s="1"/>
      <c r="I187" s="1"/>
      <c r="J187" s="18"/>
      <c r="K187" s="1"/>
      <c r="L187" s="1"/>
      <c r="M187" s="1"/>
      <c r="N187" s="1"/>
      <c r="O187" s="1"/>
      <c r="P187" s="1"/>
      <c r="Q187" s="1"/>
      <c r="R187" s="1"/>
      <c r="S187" s="1"/>
      <c r="T187" s="18"/>
      <c r="U187" s="18"/>
      <c r="V187" s="1"/>
      <c r="W187" s="1"/>
      <c r="X187" s="1"/>
      <c r="Y187" s="1"/>
      <c r="Z187" s="1"/>
      <c r="AA187" s="1"/>
      <c r="AB187" s="1"/>
      <c r="AC187" s="1"/>
      <c r="AD187" s="1"/>
      <c r="AE187" s="19"/>
    </row>
    <row r="188" spans="1:31" hidden="1">
      <c r="A188" s="2">
        <v>46153</v>
      </c>
      <c r="B188" s="1">
        <v>8000070981</v>
      </c>
      <c r="C188" s="3" t="s">
        <v>321</v>
      </c>
      <c r="D188" s="3" t="s">
        <v>75</v>
      </c>
      <c r="E188" s="1" t="s">
        <v>44</v>
      </c>
      <c r="F188" s="1" t="s">
        <v>44</v>
      </c>
      <c r="G188" s="1" t="s">
        <v>44</v>
      </c>
      <c r="H188" s="1"/>
      <c r="I188" s="1"/>
      <c r="J188" s="18"/>
      <c r="K188" s="1"/>
      <c r="L188" s="1"/>
      <c r="M188" s="1"/>
      <c r="N188" s="1"/>
      <c r="O188" s="1"/>
      <c r="P188" s="1"/>
      <c r="Q188" s="1"/>
      <c r="R188" s="1"/>
      <c r="S188" s="1"/>
      <c r="T188" s="18"/>
      <c r="U188" s="18"/>
      <c r="V188" s="1"/>
      <c r="W188" s="1"/>
      <c r="X188" s="1"/>
      <c r="Y188" s="1"/>
      <c r="Z188" s="1"/>
      <c r="AA188" s="1"/>
      <c r="AB188" s="1"/>
      <c r="AC188" s="1"/>
      <c r="AD188" s="1"/>
      <c r="AE188" s="19"/>
    </row>
    <row r="189" spans="1:31" hidden="1">
      <c r="A189" s="2">
        <v>46129</v>
      </c>
      <c r="B189" s="1">
        <v>8000070997</v>
      </c>
      <c r="C189" s="3" t="s">
        <v>322</v>
      </c>
      <c r="D189" s="3" t="s">
        <v>105</v>
      </c>
      <c r="E189" s="1" t="s">
        <v>44</v>
      </c>
      <c r="F189" s="1" t="s">
        <v>44</v>
      </c>
      <c r="G189" s="1" t="s">
        <v>44</v>
      </c>
      <c r="H189" s="1"/>
      <c r="I189" s="1"/>
      <c r="J189" s="18"/>
      <c r="K189" s="1"/>
      <c r="L189" s="1"/>
      <c r="M189" s="1"/>
      <c r="N189" s="1"/>
      <c r="O189" s="1"/>
      <c r="P189" s="1"/>
      <c r="Q189" s="1"/>
      <c r="R189" s="1"/>
      <c r="S189" s="1"/>
      <c r="T189" s="18"/>
      <c r="U189" s="18"/>
      <c r="V189" s="1"/>
      <c r="W189" s="1"/>
      <c r="X189" s="1"/>
      <c r="Y189" s="1"/>
      <c r="Z189" s="1"/>
      <c r="AA189" s="1"/>
      <c r="AB189" s="1"/>
      <c r="AC189" s="1"/>
      <c r="AD189" s="1"/>
      <c r="AE189" s="19"/>
    </row>
    <row r="190" spans="1:31" hidden="1">
      <c r="A190" s="2">
        <v>46183</v>
      </c>
      <c r="B190" s="1">
        <v>8000071012</v>
      </c>
      <c r="C190" s="3" t="s">
        <v>323</v>
      </c>
      <c r="D190" s="3" t="s">
        <v>41</v>
      </c>
      <c r="E190" s="1" t="s">
        <v>44</v>
      </c>
      <c r="F190" s="1" t="s">
        <v>44</v>
      </c>
      <c r="G190" s="1" t="s">
        <v>44</v>
      </c>
      <c r="H190" s="1"/>
      <c r="I190" s="1"/>
      <c r="J190" s="18"/>
      <c r="K190" s="1"/>
      <c r="L190" s="1"/>
      <c r="M190" s="1"/>
      <c r="N190" s="1"/>
      <c r="O190" s="1"/>
      <c r="P190" s="1"/>
      <c r="Q190" s="1"/>
      <c r="R190" s="1"/>
      <c r="S190" s="1"/>
      <c r="T190" s="18"/>
      <c r="U190" s="18"/>
      <c r="V190" s="1"/>
      <c r="W190" s="1"/>
      <c r="X190" s="1"/>
      <c r="Y190" s="1"/>
      <c r="Z190" s="1"/>
      <c r="AA190" s="1"/>
      <c r="AB190" s="1"/>
      <c r="AC190" s="1"/>
      <c r="AD190" s="1"/>
      <c r="AE190" s="19"/>
    </row>
    <row r="191" spans="1:31">
      <c r="A191" s="2">
        <v>46163</v>
      </c>
      <c r="B191" s="1">
        <v>8000071026</v>
      </c>
      <c r="C191" s="3" t="s">
        <v>324</v>
      </c>
      <c r="D191" s="3" t="s">
        <v>41</v>
      </c>
      <c r="E191" s="1">
        <v>62</v>
      </c>
      <c r="F191" s="1">
        <v>62</v>
      </c>
      <c r="G191" t="s">
        <v>325</v>
      </c>
      <c r="H191" s="7">
        <v>0</v>
      </c>
      <c r="J191" s="7">
        <v>10</v>
      </c>
      <c r="U191" s="7">
        <v>8</v>
      </c>
      <c r="AA191" s="7">
        <f>SUM(H191:Z191)</f>
        <v>18</v>
      </c>
      <c r="AB191" s="10">
        <v>999999</v>
      </c>
      <c r="AD191" s="20">
        <v>11889.74</v>
      </c>
      <c r="AE191" s="19">
        <f>Table8[[#This Row],[Total horas DME]]-Table8[[#This Row],[Horas sem Conversão]]</f>
        <v>-44</v>
      </c>
    </row>
    <row r="192" spans="1:31" hidden="1">
      <c r="A192" s="2">
        <v>46155</v>
      </c>
      <c r="B192" s="1">
        <v>8000071028</v>
      </c>
      <c r="C192" s="3" t="s">
        <v>326</v>
      </c>
      <c r="D192" s="3" t="s">
        <v>265</v>
      </c>
      <c r="E192" s="1" t="s">
        <v>44</v>
      </c>
      <c r="F192" s="1" t="s">
        <v>44</v>
      </c>
      <c r="G192" s="1" t="s">
        <v>44</v>
      </c>
      <c r="H192" s="1"/>
      <c r="I192" s="1"/>
      <c r="J192" s="18"/>
      <c r="K192" s="1"/>
      <c r="L192" s="1"/>
      <c r="M192" s="1"/>
      <c r="N192" s="1"/>
      <c r="O192" s="1"/>
      <c r="P192" s="1"/>
      <c r="Q192" s="1"/>
      <c r="R192" s="1"/>
      <c r="S192" s="1"/>
      <c r="T192" s="18"/>
      <c r="U192" s="18"/>
      <c r="V192" s="1"/>
      <c r="W192" s="1"/>
      <c r="X192" s="1"/>
      <c r="Y192" s="1"/>
      <c r="Z192" s="1"/>
      <c r="AA192" s="1"/>
      <c r="AB192" s="1"/>
      <c r="AC192" s="1"/>
      <c r="AD192" s="1"/>
      <c r="AE192" s="19"/>
    </row>
    <row r="193" spans="1:31">
      <c r="A193" s="2">
        <v>46135</v>
      </c>
      <c r="B193" s="1">
        <v>8000071105</v>
      </c>
      <c r="C193" s="3" t="s">
        <v>327</v>
      </c>
      <c r="D193" s="3" t="s">
        <v>41</v>
      </c>
      <c r="E193" s="1">
        <v>33</v>
      </c>
      <c r="F193" s="1">
        <v>33</v>
      </c>
      <c r="G193" t="s">
        <v>247</v>
      </c>
      <c r="H193" s="7">
        <v>0</v>
      </c>
      <c r="T193" s="7">
        <v>33</v>
      </c>
      <c r="AA193" s="7">
        <f>SUM(H193:Z193)</f>
        <v>33</v>
      </c>
      <c r="AB193" s="10">
        <v>999999</v>
      </c>
      <c r="AD193" s="20">
        <v>6328.4100000000008</v>
      </c>
      <c r="AE193" s="19"/>
    </row>
    <row r="194" spans="1:31" hidden="1">
      <c r="A194" s="2">
        <v>46129</v>
      </c>
      <c r="B194" s="1">
        <v>8000071108</v>
      </c>
      <c r="C194" s="3" t="s">
        <v>328</v>
      </c>
      <c r="D194" s="3" t="s">
        <v>158</v>
      </c>
      <c r="E194" s="1" t="s">
        <v>44</v>
      </c>
      <c r="F194" s="1" t="s">
        <v>44</v>
      </c>
      <c r="G194" s="1" t="s">
        <v>44</v>
      </c>
      <c r="H194" s="1"/>
      <c r="I194" s="1"/>
      <c r="J194" s="18"/>
      <c r="K194" s="1"/>
      <c r="L194" s="1"/>
      <c r="M194" s="1"/>
      <c r="N194" s="1"/>
      <c r="O194" s="1"/>
      <c r="P194" s="1"/>
      <c r="Q194" s="1"/>
      <c r="R194" s="1"/>
      <c r="S194" s="1"/>
      <c r="T194" s="18"/>
      <c r="U194" s="18"/>
      <c r="V194" s="1"/>
      <c r="W194" s="1"/>
      <c r="X194" s="1"/>
      <c r="Y194" s="1"/>
      <c r="Z194" s="1"/>
      <c r="AA194" s="1"/>
      <c r="AB194" s="1"/>
      <c r="AC194" s="1"/>
      <c r="AD194" s="1"/>
      <c r="AE194" s="19"/>
    </row>
    <row r="195" spans="1:31" hidden="1">
      <c r="A195" s="2">
        <v>46153</v>
      </c>
      <c r="B195" s="1">
        <v>8000071116</v>
      </c>
      <c r="C195" s="3" t="s">
        <v>329</v>
      </c>
      <c r="D195" s="3" t="s">
        <v>75</v>
      </c>
      <c r="E195" s="1" t="s">
        <v>44</v>
      </c>
      <c r="F195" s="1" t="s">
        <v>44</v>
      </c>
      <c r="G195" s="1" t="s">
        <v>44</v>
      </c>
      <c r="H195" s="1"/>
      <c r="I195" s="1"/>
      <c r="J195" s="18"/>
      <c r="K195" s="1"/>
      <c r="L195" s="1"/>
      <c r="M195" s="1"/>
      <c r="N195" s="1"/>
      <c r="O195" s="1"/>
      <c r="P195" s="1"/>
      <c r="Q195" s="1"/>
      <c r="R195" s="1"/>
      <c r="S195" s="1"/>
      <c r="T195" s="18"/>
      <c r="U195" s="18"/>
      <c r="V195" s="1"/>
      <c r="W195" s="1"/>
      <c r="X195" s="1"/>
      <c r="Y195" s="1"/>
      <c r="Z195" s="1"/>
      <c r="AA195" s="1"/>
      <c r="AB195" s="1"/>
      <c r="AC195" s="1"/>
      <c r="AD195" s="1"/>
      <c r="AE195" s="19"/>
    </row>
    <row r="196" spans="1:31" hidden="1">
      <c r="A196" s="2">
        <v>46149</v>
      </c>
      <c r="B196" s="1">
        <v>8000071125</v>
      </c>
      <c r="C196" s="3" t="s">
        <v>330</v>
      </c>
      <c r="D196" s="3" t="s">
        <v>203</v>
      </c>
      <c r="E196" s="1" t="s">
        <v>44</v>
      </c>
      <c r="F196" s="1" t="s">
        <v>44</v>
      </c>
      <c r="G196" s="1" t="s">
        <v>44</v>
      </c>
      <c r="H196" s="1"/>
      <c r="I196" s="1"/>
      <c r="J196" s="18"/>
      <c r="K196" s="1"/>
      <c r="L196" s="1"/>
      <c r="M196" s="1"/>
      <c r="N196" s="1"/>
      <c r="O196" s="1"/>
      <c r="P196" s="1"/>
      <c r="Q196" s="1"/>
      <c r="R196" s="1"/>
      <c r="S196" s="1"/>
      <c r="T196" s="18"/>
      <c r="U196" s="18"/>
      <c r="V196" s="1"/>
      <c r="W196" s="1"/>
      <c r="X196" s="1"/>
      <c r="Y196" s="1"/>
      <c r="Z196" s="1"/>
      <c r="AA196" s="1"/>
      <c r="AB196" s="1"/>
      <c r="AC196" s="1"/>
      <c r="AD196" s="1"/>
      <c r="AE196" s="19"/>
    </row>
    <row r="197" spans="1:31" hidden="1">
      <c r="A197" s="2">
        <v>46129</v>
      </c>
      <c r="B197" s="1">
        <v>8000071138</v>
      </c>
      <c r="C197" s="3" t="s">
        <v>331</v>
      </c>
      <c r="D197" s="3" t="s">
        <v>136</v>
      </c>
      <c r="E197" s="1" t="s">
        <v>44</v>
      </c>
      <c r="F197" s="1" t="s">
        <v>44</v>
      </c>
      <c r="G197" s="1" t="s">
        <v>44</v>
      </c>
      <c r="H197" s="1"/>
      <c r="I197" s="1"/>
      <c r="J197" s="18"/>
      <c r="K197" s="1"/>
      <c r="L197" s="1"/>
      <c r="M197" s="1"/>
      <c r="N197" s="1"/>
      <c r="O197" s="1"/>
      <c r="P197" s="1"/>
      <c r="Q197" s="1"/>
      <c r="R197" s="1"/>
      <c r="S197" s="1"/>
      <c r="T197" s="18"/>
      <c r="U197" s="18"/>
      <c r="V197" s="1"/>
      <c r="W197" s="1"/>
      <c r="X197" s="1"/>
      <c r="Y197" s="1"/>
      <c r="Z197" s="1"/>
      <c r="AA197" s="1"/>
      <c r="AB197" s="1"/>
      <c r="AC197" s="1"/>
      <c r="AD197" s="1"/>
      <c r="AE197" s="19"/>
    </row>
    <row r="198" spans="1:31">
      <c r="A198" s="2">
        <v>46147</v>
      </c>
      <c r="B198" s="1">
        <v>8000071161</v>
      </c>
      <c r="C198" s="3" t="s">
        <v>332</v>
      </c>
      <c r="D198" s="3" t="s">
        <v>41</v>
      </c>
      <c r="E198" s="1">
        <v>43</v>
      </c>
      <c r="F198" s="1">
        <v>43</v>
      </c>
      <c r="G198" t="s">
        <v>333</v>
      </c>
      <c r="H198" s="7">
        <v>0</v>
      </c>
      <c r="T198" s="7">
        <v>32</v>
      </c>
      <c r="U198" s="7">
        <v>15</v>
      </c>
      <c r="AA198" s="7">
        <f>SUM(H198:Z198)</f>
        <v>47</v>
      </c>
      <c r="AB198" s="10">
        <v>999999</v>
      </c>
      <c r="AD198" s="20">
        <v>8246.11</v>
      </c>
      <c r="AE198" s="19">
        <f>Table8[[#This Row],[Total horas DME]]-Table8[[#This Row],[Horas sem Conversão]]</f>
        <v>4</v>
      </c>
    </row>
    <row r="199" spans="1:31" hidden="1">
      <c r="A199" s="2">
        <v>46129</v>
      </c>
      <c r="B199" s="1">
        <v>8000071214</v>
      </c>
      <c r="C199" s="3" t="s">
        <v>334</v>
      </c>
      <c r="D199" s="3" t="s">
        <v>75</v>
      </c>
      <c r="E199" s="1" t="s">
        <v>44</v>
      </c>
      <c r="F199" s="1" t="s">
        <v>44</v>
      </c>
      <c r="G199" s="1" t="s">
        <v>44</v>
      </c>
      <c r="H199" s="1"/>
      <c r="I199" s="1"/>
      <c r="J199" s="18"/>
      <c r="K199" s="1"/>
      <c r="L199" s="1"/>
      <c r="M199" s="1"/>
      <c r="N199" s="1"/>
      <c r="O199" s="1"/>
      <c r="P199" s="1"/>
      <c r="Q199" s="1"/>
      <c r="R199" s="1"/>
      <c r="S199" s="1"/>
      <c r="T199" s="18"/>
      <c r="U199" s="18"/>
      <c r="V199" s="1"/>
      <c r="W199" s="1"/>
      <c r="X199" s="1"/>
      <c r="Y199" s="1"/>
      <c r="Z199" s="1"/>
      <c r="AA199" s="1"/>
      <c r="AB199" s="1"/>
      <c r="AC199" s="1"/>
      <c r="AD199" s="1"/>
      <c r="AE199" s="19"/>
    </row>
    <row r="200" spans="1:31">
      <c r="A200" s="2">
        <v>46127</v>
      </c>
      <c r="B200" s="1">
        <v>8000071267</v>
      </c>
      <c r="C200" s="3" t="s">
        <v>335</v>
      </c>
      <c r="D200" s="3" t="s">
        <v>158</v>
      </c>
      <c r="E200" s="1">
        <v>70</v>
      </c>
      <c r="F200" s="1">
        <v>84.18</v>
      </c>
      <c r="G200" t="s">
        <v>336</v>
      </c>
      <c r="H200" s="7">
        <v>0</v>
      </c>
      <c r="Q200" s="7">
        <v>42</v>
      </c>
      <c r="U200" s="7">
        <v>28</v>
      </c>
      <c r="AA200" s="7">
        <f t="shared" ref="AA200:AA201" si="20">SUM(H200:Z200)</f>
        <v>70</v>
      </c>
      <c r="AB200" s="10">
        <v>84.18</v>
      </c>
      <c r="AD200" s="10">
        <v>15792.98</v>
      </c>
      <c r="AE200" s="19"/>
    </row>
    <row r="201" spans="1:31">
      <c r="A201" s="2">
        <v>46146</v>
      </c>
      <c r="B201" s="1">
        <v>8000071296</v>
      </c>
      <c r="C201" s="3" t="s">
        <v>337</v>
      </c>
      <c r="D201" s="3" t="s">
        <v>67</v>
      </c>
      <c r="E201" s="1">
        <v>31</v>
      </c>
      <c r="F201" s="1">
        <v>32.29</v>
      </c>
      <c r="G201" t="s">
        <v>338</v>
      </c>
      <c r="H201" s="7">
        <v>0</v>
      </c>
      <c r="T201" s="7">
        <v>8</v>
      </c>
      <c r="U201" s="7">
        <v>27</v>
      </c>
      <c r="AA201" s="7">
        <f t="shared" si="20"/>
        <v>35</v>
      </c>
      <c r="AB201" s="10">
        <v>36.29</v>
      </c>
      <c r="AD201" s="10">
        <v>8109.92</v>
      </c>
      <c r="AE201" s="19">
        <f>Table8[[#This Row],[Total horas DME]]-Table8[[#This Row],[Horas sem Conversão]]</f>
        <v>4</v>
      </c>
    </row>
    <row r="202" spans="1:31" hidden="1">
      <c r="A202" s="2">
        <v>46142</v>
      </c>
      <c r="B202" s="1">
        <v>8000071399</v>
      </c>
      <c r="C202" s="3" t="s">
        <v>339</v>
      </c>
      <c r="D202" s="3" t="s">
        <v>75</v>
      </c>
      <c r="E202" s="1" t="s">
        <v>44</v>
      </c>
      <c r="F202" s="1" t="s">
        <v>44</v>
      </c>
      <c r="G202" s="1" t="s">
        <v>44</v>
      </c>
      <c r="H202" s="1"/>
      <c r="I202" s="1"/>
      <c r="J202" s="18"/>
      <c r="K202" s="1"/>
      <c r="L202" s="1"/>
      <c r="M202" s="1"/>
      <c r="N202" s="1"/>
      <c r="O202" s="1"/>
      <c r="P202" s="1"/>
      <c r="Q202" s="1"/>
      <c r="R202" s="1"/>
      <c r="S202" s="1"/>
      <c r="T202" s="18"/>
      <c r="U202" s="18"/>
      <c r="V202" s="1"/>
      <c r="W202" s="1"/>
      <c r="X202" s="1"/>
      <c r="Y202" s="1"/>
      <c r="Z202" s="1"/>
      <c r="AA202" s="1"/>
      <c r="AB202" s="1"/>
      <c r="AC202" s="1"/>
      <c r="AD202" s="1"/>
      <c r="AE202" s="19"/>
    </row>
    <row r="203" spans="1:31" hidden="1">
      <c r="A203" s="2">
        <v>46175</v>
      </c>
      <c r="B203" s="1">
        <v>8000071476</v>
      </c>
      <c r="C203" s="3" t="s">
        <v>340</v>
      </c>
      <c r="D203" s="3" t="s">
        <v>341</v>
      </c>
      <c r="E203" s="1" t="s">
        <v>44</v>
      </c>
      <c r="F203" s="1" t="s">
        <v>44</v>
      </c>
      <c r="G203" s="1" t="s">
        <v>44</v>
      </c>
      <c r="H203" s="1"/>
      <c r="I203" s="1"/>
      <c r="J203" s="18"/>
      <c r="K203" s="1"/>
      <c r="L203" s="1"/>
      <c r="M203" s="1"/>
      <c r="N203" s="1"/>
      <c r="O203" s="1"/>
      <c r="P203" s="1"/>
      <c r="Q203" s="1"/>
      <c r="R203" s="1"/>
      <c r="S203" s="1"/>
      <c r="T203" s="18"/>
      <c r="U203" s="18"/>
      <c r="V203" s="1"/>
      <c r="W203" s="1"/>
      <c r="X203" s="1"/>
      <c r="Y203" s="1"/>
      <c r="Z203" s="1"/>
      <c r="AA203" s="1"/>
      <c r="AB203" s="1"/>
      <c r="AC203" s="1"/>
      <c r="AD203" s="1"/>
      <c r="AE203" s="19"/>
    </row>
    <row r="204" spans="1:31" hidden="1">
      <c r="A204" s="2">
        <v>46146</v>
      </c>
      <c r="B204" s="1">
        <v>8000071540</v>
      </c>
      <c r="C204" s="3" t="s">
        <v>342</v>
      </c>
      <c r="D204" s="3" t="s">
        <v>203</v>
      </c>
      <c r="E204" s="1" t="s">
        <v>44</v>
      </c>
      <c r="F204" s="1" t="s">
        <v>44</v>
      </c>
      <c r="G204" s="1" t="s">
        <v>44</v>
      </c>
      <c r="H204" s="1"/>
      <c r="I204" s="1"/>
      <c r="J204" s="18"/>
      <c r="K204" s="1"/>
      <c r="L204" s="1"/>
      <c r="M204" s="1"/>
      <c r="N204" s="1"/>
      <c r="O204" s="1"/>
      <c r="P204" s="1"/>
      <c r="Q204" s="1"/>
      <c r="R204" s="1"/>
      <c r="S204" s="1"/>
      <c r="T204" s="18"/>
      <c r="U204" s="18"/>
      <c r="V204" s="1"/>
      <c r="W204" s="1"/>
      <c r="X204" s="1"/>
      <c r="Y204" s="1"/>
      <c r="Z204" s="1"/>
      <c r="AA204" s="1"/>
      <c r="AB204" s="1"/>
      <c r="AC204" s="1"/>
      <c r="AD204" s="1"/>
      <c r="AE204" s="19"/>
    </row>
    <row r="205" spans="1:31">
      <c r="A205" s="2">
        <v>46146</v>
      </c>
      <c r="B205" s="1">
        <v>8000071544</v>
      </c>
      <c r="C205" s="3" t="s">
        <v>343</v>
      </c>
      <c r="D205" s="3" t="s">
        <v>41</v>
      </c>
      <c r="E205" s="1">
        <v>58</v>
      </c>
      <c r="F205" s="1">
        <v>58</v>
      </c>
      <c r="G205" t="s">
        <v>344</v>
      </c>
      <c r="H205" s="7">
        <v>0</v>
      </c>
      <c r="R205" s="7">
        <v>30</v>
      </c>
      <c r="U205" s="7">
        <v>28</v>
      </c>
      <c r="AA205" s="7">
        <f t="shared" ref="AA205:AA207" si="21">SUM(H205:Z205)</f>
        <v>58</v>
      </c>
      <c r="AB205" s="10">
        <v>999999</v>
      </c>
      <c r="AD205" s="20">
        <v>11122.66</v>
      </c>
      <c r="AE205" s="19"/>
    </row>
    <row r="206" spans="1:31">
      <c r="A206" s="2">
        <v>46181</v>
      </c>
      <c r="B206" s="1">
        <v>8000071559</v>
      </c>
      <c r="C206" s="3" t="s">
        <v>345</v>
      </c>
      <c r="D206" s="3" t="s">
        <v>41</v>
      </c>
      <c r="E206" s="1">
        <v>109</v>
      </c>
      <c r="F206" s="1">
        <v>109</v>
      </c>
      <c r="G206" t="s">
        <v>346</v>
      </c>
      <c r="H206" s="7">
        <v>0</v>
      </c>
      <c r="R206" s="7">
        <v>52</v>
      </c>
      <c r="U206" s="7">
        <v>64</v>
      </c>
      <c r="AA206" s="7">
        <f t="shared" si="21"/>
        <v>116</v>
      </c>
      <c r="AD206" s="20">
        <v>20902.93</v>
      </c>
      <c r="AE206" s="19">
        <f>Table8[[#This Row],[Total horas DME]]-Table8[[#This Row],[Horas sem Conversão]]</f>
        <v>7</v>
      </c>
    </row>
    <row r="207" spans="1:31">
      <c r="A207" s="2">
        <v>46146</v>
      </c>
      <c r="B207" s="1">
        <v>8000071609</v>
      </c>
      <c r="C207" s="3" t="s">
        <v>347</v>
      </c>
      <c r="D207" s="3" t="s">
        <v>94</v>
      </c>
      <c r="E207" s="1">
        <v>94</v>
      </c>
      <c r="F207" s="1">
        <v>94</v>
      </c>
      <c r="G207" t="s">
        <v>348</v>
      </c>
      <c r="H207" s="7">
        <v>0</v>
      </c>
      <c r="J207" s="7">
        <v>33</v>
      </c>
      <c r="P207" s="7">
        <v>28</v>
      </c>
      <c r="S207" s="7">
        <v>33</v>
      </c>
      <c r="AA207" s="7">
        <f t="shared" si="21"/>
        <v>94</v>
      </c>
      <c r="AB207" s="10">
        <v>129.21</v>
      </c>
      <c r="AD207" s="10">
        <v>24994.5</v>
      </c>
      <c r="AE207" s="19"/>
    </row>
    <row r="208" spans="1:31" hidden="1">
      <c r="A208" s="2">
        <v>46174</v>
      </c>
      <c r="B208" s="1">
        <v>8000071626</v>
      </c>
      <c r="C208" s="3" t="s">
        <v>349</v>
      </c>
      <c r="D208" s="3" t="s">
        <v>102</v>
      </c>
      <c r="E208" s="1" t="s">
        <v>44</v>
      </c>
      <c r="F208" s="1" t="s">
        <v>44</v>
      </c>
      <c r="G208" s="1" t="s">
        <v>44</v>
      </c>
      <c r="H208" s="1"/>
      <c r="I208" s="1"/>
      <c r="J208" s="18"/>
      <c r="K208" s="1"/>
      <c r="L208" s="1"/>
      <c r="M208" s="1"/>
      <c r="N208" s="1"/>
      <c r="O208" s="1"/>
      <c r="P208" s="1"/>
      <c r="Q208" s="1"/>
      <c r="R208" s="1"/>
      <c r="S208" s="1"/>
      <c r="T208" s="18"/>
      <c r="U208" s="18"/>
      <c r="V208" s="1"/>
      <c r="W208" s="1"/>
      <c r="X208" s="1"/>
      <c r="Y208" s="1"/>
      <c r="Z208" s="1"/>
      <c r="AA208" s="1"/>
      <c r="AB208" s="1"/>
      <c r="AC208" s="1"/>
      <c r="AD208" s="1"/>
      <c r="AE208" s="19"/>
    </row>
    <row r="209" spans="1:31" hidden="1">
      <c r="A209" s="2">
        <v>46155</v>
      </c>
      <c r="B209" s="1">
        <v>8000071641</v>
      </c>
      <c r="C209" s="3" t="s">
        <v>350</v>
      </c>
      <c r="D209" s="3" t="s">
        <v>341</v>
      </c>
      <c r="E209" s="1" t="s">
        <v>44</v>
      </c>
      <c r="F209" s="1" t="s">
        <v>44</v>
      </c>
      <c r="G209" s="1" t="s">
        <v>44</v>
      </c>
      <c r="H209" s="1"/>
      <c r="I209" s="1"/>
      <c r="J209" s="18"/>
      <c r="K209" s="1"/>
      <c r="L209" s="1"/>
      <c r="M209" s="1"/>
      <c r="N209" s="1"/>
      <c r="O209" s="1"/>
      <c r="P209" s="1"/>
      <c r="Q209" s="1"/>
      <c r="R209" s="1"/>
      <c r="S209" s="1"/>
      <c r="T209" s="18"/>
      <c r="U209" s="18"/>
      <c r="V209" s="1"/>
      <c r="W209" s="1"/>
      <c r="X209" s="1"/>
      <c r="Y209" s="1"/>
      <c r="Z209" s="1"/>
      <c r="AA209" s="1"/>
      <c r="AB209" s="1"/>
      <c r="AC209" s="1"/>
      <c r="AD209" s="1"/>
      <c r="AE209" s="19"/>
    </row>
    <row r="210" spans="1:31" hidden="1">
      <c r="A210" s="2">
        <v>46147</v>
      </c>
      <c r="B210" s="1">
        <v>8000071709</v>
      </c>
      <c r="C210" s="3" t="s">
        <v>351</v>
      </c>
      <c r="D210" s="3" t="s">
        <v>158</v>
      </c>
      <c r="E210" s="1" t="s">
        <v>44</v>
      </c>
      <c r="F210" s="1" t="s">
        <v>44</v>
      </c>
      <c r="G210" s="1" t="s">
        <v>44</v>
      </c>
      <c r="H210" s="1"/>
      <c r="I210" s="1"/>
      <c r="J210" s="18"/>
      <c r="K210" s="1"/>
      <c r="L210" s="1"/>
      <c r="M210" s="1"/>
      <c r="N210" s="1"/>
      <c r="O210" s="1"/>
      <c r="P210" s="1"/>
      <c r="Q210" s="1"/>
      <c r="R210" s="1"/>
      <c r="S210" s="1"/>
      <c r="T210" s="18"/>
      <c r="U210" s="18"/>
      <c r="V210" s="1"/>
      <c r="W210" s="1"/>
      <c r="X210" s="1"/>
      <c r="Y210" s="1"/>
      <c r="Z210" s="1"/>
      <c r="AA210" s="1"/>
      <c r="AB210" s="1"/>
      <c r="AC210" s="1"/>
      <c r="AD210" s="1"/>
      <c r="AE210" s="19"/>
    </row>
    <row r="211" spans="1:31" hidden="1">
      <c r="A211" s="2">
        <v>46160</v>
      </c>
      <c r="B211" s="1">
        <v>8000071721</v>
      </c>
      <c r="C211" s="3" t="s">
        <v>352</v>
      </c>
      <c r="D211" s="3" t="s">
        <v>41</v>
      </c>
      <c r="E211" s="1" t="s">
        <v>44</v>
      </c>
      <c r="F211" s="1" t="s">
        <v>44</v>
      </c>
      <c r="G211" s="1" t="s">
        <v>44</v>
      </c>
      <c r="H211" s="1"/>
      <c r="I211" s="1"/>
      <c r="J211" s="18"/>
      <c r="K211" s="1"/>
      <c r="L211" s="1"/>
      <c r="M211" s="1"/>
      <c r="N211" s="1"/>
      <c r="O211" s="1"/>
      <c r="P211" s="1"/>
      <c r="Q211" s="1"/>
      <c r="R211" s="1"/>
      <c r="S211" s="1"/>
      <c r="T211" s="18"/>
      <c r="U211" s="18"/>
      <c r="V211" s="1"/>
      <c r="W211" s="1"/>
      <c r="X211" s="1"/>
      <c r="Y211" s="1"/>
      <c r="Z211" s="1"/>
      <c r="AA211" s="1"/>
      <c r="AB211" s="1"/>
      <c r="AC211" s="1"/>
      <c r="AD211" s="1"/>
      <c r="AE211" s="19"/>
    </row>
    <row r="212" spans="1:31" hidden="1">
      <c r="A212" s="2">
        <v>46150</v>
      </c>
      <c r="B212" s="1">
        <v>8000071722</v>
      </c>
      <c r="C212" s="3" t="s">
        <v>353</v>
      </c>
      <c r="D212" s="3" t="s">
        <v>41</v>
      </c>
      <c r="E212" s="1" t="s">
        <v>44</v>
      </c>
      <c r="F212" s="1" t="s">
        <v>44</v>
      </c>
      <c r="G212" s="1" t="s">
        <v>44</v>
      </c>
      <c r="H212" s="1"/>
      <c r="I212" s="1"/>
      <c r="J212" s="18"/>
      <c r="K212" s="1"/>
      <c r="L212" s="1"/>
      <c r="M212" s="1"/>
      <c r="N212" s="1"/>
      <c r="O212" s="1"/>
      <c r="P212" s="1"/>
      <c r="Q212" s="1"/>
      <c r="R212" s="1"/>
      <c r="S212" s="1"/>
      <c r="T212" s="18"/>
      <c r="U212" s="18"/>
      <c r="V212" s="1"/>
      <c r="W212" s="1"/>
      <c r="X212" s="1"/>
      <c r="Y212" s="1"/>
      <c r="Z212" s="1"/>
      <c r="AA212" s="1"/>
      <c r="AB212" s="1"/>
      <c r="AC212" s="1"/>
      <c r="AD212" s="1"/>
      <c r="AE212" s="19"/>
    </row>
    <row r="213" spans="1:31" hidden="1">
      <c r="A213" s="2">
        <v>46171</v>
      </c>
      <c r="B213" s="1">
        <v>8000071754</v>
      </c>
      <c r="C213" s="3" t="s">
        <v>354</v>
      </c>
      <c r="D213" s="3" t="s">
        <v>62</v>
      </c>
      <c r="E213" s="1" t="s">
        <v>44</v>
      </c>
      <c r="F213" s="1" t="s">
        <v>44</v>
      </c>
      <c r="G213" s="1" t="s">
        <v>44</v>
      </c>
      <c r="H213" s="1"/>
      <c r="I213" s="1"/>
      <c r="J213" s="18"/>
      <c r="K213" s="1"/>
      <c r="L213" s="1"/>
      <c r="M213" s="1"/>
      <c r="N213" s="1"/>
      <c r="O213" s="1"/>
      <c r="P213" s="1"/>
      <c r="Q213" s="1"/>
      <c r="R213" s="1"/>
      <c r="S213" s="1"/>
      <c r="T213" s="18"/>
      <c r="U213" s="18"/>
      <c r="V213" s="1"/>
      <c r="W213" s="1"/>
      <c r="X213" s="1"/>
      <c r="Y213" s="1"/>
      <c r="Z213" s="1"/>
      <c r="AA213" s="1"/>
      <c r="AB213" s="1"/>
      <c r="AC213" s="1"/>
      <c r="AD213" s="1"/>
      <c r="AE213" s="19"/>
    </row>
    <row r="214" spans="1:31">
      <c r="A214" s="2">
        <v>46168</v>
      </c>
      <c r="B214" s="1">
        <v>8000071766</v>
      </c>
      <c r="C214" s="3" t="s">
        <v>355</v>
      </c>
      <c r="D214" s="3" t="s">
        <v>356</v>
      </c>
      <c r="E214" s="1">
        <v>82</v>
      </c>
      <c r="F214" s="1">
        <v>114.46</v>
      </c>
      <c r="G214" t="s">
        <v>357</v>
      </c>
      <c r="H214" s="7">
        <v>0</v>
      </c>
      <c r="J214" s="7">
        <v>42</v>
      </c>
      <c r="U214" s="7">
        <v>40</v>
      </c>
      <c r="AA214" s="7">
        <f>SUM(H214:Z214)</f>
        <v>82</v>
      </c>
      <c r="AB214" s="10" t="s">
        <v>358</v>
      </c>
      <c r="AD214" s="10">
        <v>20031.060000000001</v>
      </c>
      <c r="AE214" s="19"/>
    </row>
    <row r="215" spans="1:31" hidden="1">
      <c r="A215" s="2">
        <v>46149</v>
      </c>
      <c r="B215" s="1">
        <v>8000071780</v>
      </c>
      <c r="C215" s="3" t="s">
        <v>359</v>
      </c>
      <c r="D215" s="3" t="s">
        <v>105</v>
      </c>
      <c r="E215" s="1" t="s">
        <v>44</v>
      </c>
      <c r="F215" s="1" t="s">
        <v>44</v>
      </c>
      <c r="G215" s="1" t="s">
        <v>44</v>
      </c>
      <c r="H215" s="1"/>
      <c r="I215" s="1"/>
      <c r="J215" s="18"/>
      <c r="K215" s="1"/>
      <c r="L215" s="1"/>
      <c r="M215" s="1"/>
      <c r="N215" s="1"/>
      <c r="O215" s="1"/>
      <c r="P215" s="1"/>
      <c r="Q215" s="1"/>
      <c r="R215" s="1"/>
      <c r="S215" s="1"/>
      <c r="T215" s="18"/>
      <c r="U215" s="18"/>
      <c r="V215" s="1"/>
      <c r="W215" s="1"/>
      <c r="X215" s="1"/>
      <c r="Y215" s="1"/>
      <c r="Z215" s="1"/>
      <c r="AA215" s="1"/>
      <c r="AB215" s="1"/>
      <c r="AC215" s="1"/>
      <c r="AD215" s="1"/>
      <c r="AE215" s="19"/>
    </row>
    <row r="216" spans="1:31">
      <c r="A216" s="2">
        <v>46142</v>
      </c>
      <c r="B216" s="1">
        <v>8000071825</v>
      </c>
      <c r="C216" s="3" t="s">
        <v>360</v>
      </c>
      <c r="D216" s="3" t="s">
        <v>41</v>
      </c>
      <c r="E216" s="1">
        <v>28</v>
      </c>
      <c r="F216" s="1">
        <v>28</v>
      </c>
      <c r="G216" t="s">
        <v>247</v>
      </c>
      <c r="H216" s="7">
        <v>0</v>
      </c>
      <c r="J216" s="7">
        <v>28</v>
      </c>
      <c r="AA216" s="7">
        <f>SUM(H216:Z216)</f>
        <v>28</v>
      </c>
      <c r="AD216" s="20">
        <v>5369.56</v>
      </c>
      <c r="AE216" s="19"/>
    </row>
    <row r="217" spans="1:31" hidden="1">
      <c r="A217" s="2">
        <v>46167</v>
      </c>
      <c r="B217" s="1">
        <v>8000071845</v>
      </c>
      <c r="C217" s="3" t="s">
        <v>361</v>
      </c>
      <c r="D217" s="3" t="s">
        <v>67</v>
      </c>
      <c r="E217" s="1" t="s">
        <v>44</v>
      </c>
      <c r="F217" s="1" t="s">
        <v>44</v>
      </c>
      <c r="G217" s="1" t="s">
        <v>44</v>
      </c>
      <c r="H217" s="1"/>
      <c r="I217" s="1"/>
      <c r="J217" s="18"/>
      <c r="K217" s="1"/>
      <c r="L217" s="1"/>
      <c r="M217" s="1"/>
      <c r="N217" s="1"/>
      <c r="O217" s="1"/>
      <c r="P217" s="1"/>
      <c r="Q217" s="1"/>
      <c r="R217" s="1"/>
      <c r="S217" s="1"/>
      <c r="T217" s="18"/>
      <c r="U217" s="18"/>
      <c r="V217" s="1"/>
      <c r="W217" s="1"/>
      <c r="X217" s="1"/>
      <c r="Y217" s="1"/>
      <c r="Z217" s="1"/>
      <c r="AA217" s="1"/>
      <c r="AB217" s="1"/>
      <c r="AC217" s="1"/>
      <c r="AD217" s="1"/>
      <c r="AE217" s="19"/>
    </row>
    <row r="218" spans="1:31" hidden="1">
      <c r="A218" s="2">
        <v>46149</v>
      </c>
      <c r="B218" s="1">
        <v>8000071854</v>
      </c>
      <c r="C218" s="3" t="s">
        <v>362</v>
      </c>
      <c r="D218" s="3" t="s">
        <v>67</v>
      </c>
      <c r="E218" s="1" t="s">
        <v>44</v>
      </c>
      <c r="F218" s="1" t="s">
        <v>44</v>
      </c>
      <c r="G218" s="1" t="s">
        <v>44</v>
      </c>
      <c r="H218" s="1"/>
      <c r="I218" s="1"/>
      <c r="J218" s="18"/>
      <c r="K218" s="1"/>
      <c r="L218" s="1"/>
      <c r="M218" s="1"/>
      <c r="N218" s="1"/>
      <c r="O218" s="1"/>
      <c r="P218" s="1"/>
      <c r="Q218" s="1"/>
      <c r="R218" s="1"/>
      <c r="S218" s="1"/>
      <c r="T218" s="18"/>
      <c r="U218" s="18"/>
      <c r="V218" s="1"/>
      <c r="W218" s="1"/>
      <c r="X218" s="1"/>
      <c r="Y218" s="1"/>
      <c r="Z218" s="1"/>
      <c r="AA218" s="1"/>
      <c r="AB218" s="1"/>
      <c r="AC218" s="1"/>
      <c r="AD218" s="1"/>
      <c r="AE218" s="19"/>
    </row>
    <row r="219" spans="1:31" hidden="1">
      <c r="A219" s="2">
        <v>46176</v>
      </c>
      <c r="B219" s="1">
        <v>8000071916</v>
      </c>
      <c r="C219" s="3" t="s">
        <v>363</v>
      </c>
      <c r="D219" s="3" t="s">
        <v>67</v>
      </c>
      <c r="E219" s="1" t="s">
        <v>44</v>
      </c>
      <c r="F219" s="1" t="s">
        <v>44</v>
      </c>
      <c r="G219" s="1" t="s">
        <v>44</v>
      </c>
      <c r="H219" s="1"/>
      <c r="I219" s="1"/>
      <c r="J219" s="18"/>
      <c r="K219" s="1"/>
      <c r="L219" s="1"/>
      <c r="M219" s="1"/>
      <c r="N219" s="1"/>
      <c r="O219" s="1"/>
      <c r="P219" s="1"/>
      <c r="Q219" s="1"/>
      <c r="R219" s="1"/>
      <c r="S219" s="1"/>
      <c r="T219" s="18"/>
      <c r="U219" s="18"/>
      <c r="V219" s="1"/>
      <c r="W219" s="1"/>
      <c r="X219" s="1"/>
      <c r="Y219" s="1"/>
      <c r="Z219" s="1"/>
      <c r="AA219" s="1"/>
      <c r="AB219" s="1"/>
      <c r="AC219" s="1"/>
      <c r="AD219" s="1"/>
      <c r="AE219" s="19"/>
    </row>
    <row r="220" spans="1:31" hidden="1">
      <c r="A220" s="2">
        <v>46169</v>
      </c>
      <c r="B220" s="1">
        <v>8000071918</v>
      </c>
      <c r="C220" s="3" t="s">
        <v>364</v>
      </c>
      <c r="D220" s="3" t="s">
        <v>41</v>
      </c>
      <c r="E220" s="1" t="s">
        <v>44</v>
      </c>
      <c r="F220" s="1" t="s">
        <v>44</v>
      </c>
      <c r="G220" s="1" t="s">
        <v>44</v>
      </c>
      <c r="H220" s="1"/>
      <c r="I220" s="1"/>
      <c r="J220" s="18"/>
      <c r="K220" s="1"/>
      <c r="L220" s="1"/>
      <c r="M220" s="1"/>
      <c r="N220" s="1"/>
      <c r="O220" s="1"/>
      <c r="P220" s="1"/>
      <c r="Q220" s="1"/>
      <c r="R220" s="1"/>
      <c r="S220" s="1"/>
      <c r="T220" s="18"/>
      <c r="U220" s="18"/>
      <c r="V220" s="1"/>
      <c r="W220" s="1"/>
      <c r="X220" s="1"/>
      <c r="Y220" s="1"/>
      <c r="Z220" s="1"/>
      <c r="AA220" s="1"/>
      <c r="AB220" s="1"/>
      <c r="AC220" s="1"/>
      <c r="AD220" s="1"/>
      <c r="AE220" s="19"/>
    </row>
    <row r="221" spans="1:31">
      <c r="A221" s="2">
        <v>46147</v>
      </c>
      <c r="B221" s="1">
        <v>8000071999</v>
      </c>
      <c r="C221" s="3" t="s">
        <v>365</v>
      </c>
      <c r="D221" s="3" t="s">
        <v>41</v>
      </c>
      <c r="E221" s="1">
        <v>27</v>
      </c>
      <c r="F221" s="1">
        <v>27</v>
      </c>
      <c r="G221" t="s">
        <v>366</v>
      </c>
      <c r="H221" s="7">
        <v>0</v>
      </c>
      <c r="U221" s="7">
        <v>27</v>
      </c>
      <c r="AA221" s="7">
        <f>SUM(H221:Z221)</f>
        <v>27</v>
      </c>
      <c r="AD221" s="20">
        <v>5177.79</v>
      </c>
      <c r="AE221" s="19"/>
    </row>
    <row r="222" spans="1:31">
      <c r="A222" s="2">
        <v>46161</v>
      </c>
      <c r="B222" s="1">
        <v>8000072005</v>
      </c>
      <c r="C222" s="3" t="s">
        <v>367</v>
      </c>
      <c r="D222" s="3" t="s">
        <v>203</v>
      </c>
      <c r="E222" s="1">
        <v>33</v>
      </c>
      <c r="F222" s="1">
        <v>43.6</v>
      </c>
      <c r="G222" t="s">
        <v>368</v>
      </c>
      <c r="H222" s="7">
        <v>0</v>
      </c>
      <c r="I222" s="7">
        <v>1</v>
      </c>
      <c r="J222" s="7">
        <v>16</v>
      </c>
      <c r="U222" s="7">
        <v>16</v>
      </c>
      <c r="AA222" s="7">
        <f t="shared" ref="AA221:AA224" si="22">SUM(H222:Z222)</f>
        <v>33</v>
      </c>
      <c r="AB222" s="10">
        <v>43.6</v>
      </c>
      <c r="AD222" s="10">
        <v>8065.6</v>
      </c>
      <c r="AE222" s="19"/>
    </row>
    <row r="223" spans="1:31">
      <c r="A223" s="2">
        <v>46142</v>
      </c>
      <c r="B223" s="1">
        <v>8000072055</v>
      </c>
      <c r="C223" s="3" t="s">
        <v>369</v>
      </c>
      <c r="D223" s="3" t="s">
        <v>136</v>
      </c>
      <c r="E223" s="1">
        <v>46</v>
      </c>
      <c r="F223" s="1">
        <v>65.680000000000007</v>
      </c>
      <c r="G223" t="s">
        <v>370</v>
      </c>
      <c r="H223" s="7">
        <v>46</v>
      </c>
      <c r="AA223" s="7">
        <f t="shared" si="22"/>
        <v>46</v>
      </c>
      <c r="AB223" s="10">
        <v>65.680000000000007</v>
      </c>
      <c r="AD223" s="10">
        <v>12231.35</v>
      </c>
      <c r="AE223" s="19">
        <f>Table8[[#This Row],[Total horas DME]]-Table8[[#This Row],[Horas sem Conversão]]</f>
        <v>0</v>
      </c>
    </row>
    <row r="224" spans="1:31">
      <c r="A224" s="2">
        <v>46175</v>
      </c>
      <c r="B224" s="1">
        <v>8000072259</v>
      </c>
      <c r="C224" s="3" t="s">
        <v>371</v>
      </c>
      <c r="D224" s="3" t="s">
        <v>272</v>
      </c>
      <c r="E224" s="1">
        <v>41</v>
      </c>
      <c r="F224" s="1">
        <v>64.31</v>
      </c>
      <c r="G224" t="s">
        <v>372</v>
      </c>
      <c r="H224" s="7">
        <v>28</v>
      </c>
      <c r="U224" s="7">
        <v>13</v>
      </c>
      <c r="AA224" s="7">
        <f t="shared" si="22"/>
        <v>41</v>
      </c>
      <c r="AB224" s="10">
        <v>64.31</v>
      </c>
      <c r="AD224" s="10">
        <v>11256.1</v>
      </c>
      <c r="AE224" s="19">
        <f>Table8[[#This Row],[Total horas DME]]-Table8[[#This Row],[Horas sem Conversão]]</f>
        <v>0</v>
      </c>
    </row>
    <row r="225" spans="1:31" hidden="1">
      <c r="A225" s="2">
        <v>46169</v>
      </c>
      <c r="B225" s="1">
        <v>8000072331</v>
      </c>
      <c r="C225" s="3" t="s">
        <v>373</v>
      </c>
      <c r="D225" s="3" t="s">
        <v>41</v>
      </c>
      <c r="E225" s="1" t="s">
        <v>44</v>
      </c>
      <c r="F225" s="1" t="s">
        <v>44</v>
      </c>
      <c r="G225" s="1" t="s">
        <v>44</v>
      </c>
      <c r="H225" s="1"/>
      <c r="I225" s="1"/>
      <c r="J225" s="18"/>
      <c r="K225" s="1"/>
      <c r="L225" s="1"/>
      <c r="M225" s="1"/>
      <c r="N225" s="1"/>
      <c r="O225" s="1"/>
      <c r="P225" s="1"/>
      <c r="Q225" s="1"/>
      <c r="R225" s="1"/>
      <c r="S225" s="1"/>
      <c r="T225" s="18"/>
      <c r="U225" s="18"/>
      <c r="V225" s="1"/>
      <c r="W225" s="1"/>
      <c r="X225" s="1"/>
      <c r="Y225" s="1"/>
      <c r="Z225" s="1"/>
      <c r="AA225" s="1"/>
      <c r="AB225" s="1"/>
      <c r="AC225" s="1"/>
      <c r="AD225" s="1"/>
      <c r="AE225" s="19"/>
    </row>
    <row r="226" spans="1:31" hidden="1">
      <c r="A226" s="2">
        <v>46169</v>
      </c>
      <c r="B226" s="1">
        <v>8000072342</v>
      </c>
      <c r="C226" s="3" t="s">
        <v>374</v>
      </c>
      <c r="D226" s="3" t="s">
        <v>41</v>
      </c>
      <c r="E226" s="1" t="s">
        <v>44</v>
      </c>
      <c r="F226" s="1" t="s">
        <v>44</v>
      </c>
      <c r="G226" s="1" t="s">
        <v>44</v>
      </c>
      <c r="H226" s="1"/>
      <c r="I226" s="1"/>
      <c r="J226" s="18"/>
      <c r="K226" s="1"/>
      <c r="L226" s="1"/>
      <c r="M226" s="1"/>
      <c r="N226" s="1"/>
      <c r="O226" s="1"/>
      <c r="P226" s="1"/>
      <c r="Q226" s="1"/>
      <c r="R226" s="1"/>
      <c r="S226" s="1"/>
      <c r="T226" s="18"/>
      <c r="U226" s="18"/>
      <c r="V226" s="1"/>
      <c r="W226" s="1"/>
      <c r="X226" s="1"/>
      <c r="Y226" s="1"/>
      <c r="Z226" s="1"/>
      <c r="AA226" s="1"/>
      <c r="AB226" s="1"/>
      <c r="AC226" s="1"/>
      <c r="AD226" s="1"/>
      <c r="AE226" s="19"/>
    </row>
    <row r="227" spans="1:31">
      <c r="A227" s="2">
        <v>46153</v>
      </c>
      <c r="B227" s="1">
        <v>8000072354</v>
      </c>
      <c r="C227" s="3" t="s">
        <v>375</v>
      </c>
      <c r="D227" s="3" t="s">
        <v>41</v>
      </c>
      <c r="E227" s="1">
        <v>49</v>
      </c>
      <c r="F227" s="1">
        <v>49</v>
      </c>
      <c r="G227" t="s">
        <v>376</v>
      </c>
      <c r="H227" s="7">
        <v>0</v>
      </c>
      <c r="N227" s="7">
        <v>29</v>
      </c>
      <c r="U227" s="7">
        <v>20</v>
      </c>
      <c r="AA227" s="7">
        <f>SUM(H227:Z227)</f>
        <v>49</v>
      </c>
      <c r="AD227" s="20">
        <v>9396.7300000000014</v>
      </c>
      <c r="AE227" s="19"/>
    </row>
    <row r="228" spans="1:31" hidden="1">
      <c r="A228" s="2">
        <v>46150</v>
      </c>
      <c r="B228" s="1">
        <v>8000072367</v>
      </c>
      <c r="C228" s="3" t="s">
        <v>377</v>
      </c>
      <c r="D228" s="3" t="s">
        <v>102</v>
      </c>
      <c r="E228" s="1" t="s">
        <v>44</v>
      </c>
      <c r="F228" s="1" t="s">
        <v>44</v>
      </c>
      <c r="G228" s="1" t="s">
        <v>44</v>
      </c>
      <c r="H228" s="1"/>
      <c r="I228" s="1"/>
      <c r="J228" s="18"/>
      <c r="K228" s="1"/>
      <c r="L228" s="1"/>
      <c r="M228" s="1"/>
      <c r="N228" s="1"/>
      <c r="O228" s="1"/>
      <c r="P228" s="1"/>
      <c r="Q228" s="1"/>
      <c r="R228" s="1"/>
      <c r="S228" s="1"/>
      <c r="T228" s="18"/>
      <c r="U228" s="18"/>
      <c r="V228" s="1"/>
      <c r="W228" s="1"/>
      <c r="X228" s="1"/>
      <c r="Y228" s="1"/>
      <c r="Z228" s="1"/>
      <c r="AA228" s="1"/>
      <c r="AB228" s="1"/>
      <c r="AC228" s="1"/>
      <c r="AD228" s="1"/>
      <c r="AE228" s="19"/>
    </row>
    <row r="229" spans="1:31" hidden="1">
      <c r="A229" s="2">
        <v>46157</v>
      </c>
      <c r="B229" s="1">
        <v>8000072379</v>
      </c>
      <c r="C229" s="3" t="s">
        <v>378</v>
      </c>
      <c r="D229" s="3" t="s">
        <v>62</v>
      </c>
      <c r="E229" s="1" t="s">
        <v>44</v>
      </c>
      <c r="F229" s="1" t="s">
        <v>44</v>
      </c>
      <c r="G229" s="1" t="s">
        <v>44</v>
      </c>
      <c r="H229" s="1"/>
      <c r="I229" s="1"/>
      <c r="J229" s="18"/>
      <c r="K229" s="1"/>
      <c r="L229" s="1"/>
      <c r="M229" s="1"/>
      <c r="N229" s="1"/>
      <c r="O229" s="1"/>
      <c r="P229" s="1"/>
      <c r="Q229" s="1"/>
      <c r="R229" s="1"/>
      <c r="S229" s="1"/>
      <c r="T229" s="18"/>
      <c r="U229" s="18"/>
      <c r="V229" s="1"/>
      <c r="W229" s="1"/>
      <c r="X229" s="1"/>
      <c r="Y229" s="1"/>
      <c r="Z229" s="1"/>
      <c r="AA229" s="1"/>
      <c r="AB229" s="1"/>
      <c r="AC229" s="1"/>
      <c r="AD229" s="1"/>
      <c r="AE229" s="19"/>
    </row>
    <row r="230" spans="1:31" hidden="1">
      <c r="A230" s="2">
        <v>46169</v>
      </c>
      <c r="B230" s="1">
        <v>8000072476</v>
      </c>
      <c r="C230" s="3" t="s">
        <v>379</v>
      </c>
      <c r="D230" s="3" t="s">
        <v>62</v>
      </c>
      <c r="E230" s="1" t="s">
        <v>44</v>
      </c>
      <c r="F230" s="1" t="s">
        <v>44</v>
      </c>
      <c r="G230" s="1" t="s">
        <v>44</v>
      </c>
      <c r="H230" s="1"/>
      <c r="I230" s="1"/>
      <c r="J230" s="18"/>
      <c r="K230" s="1"/>
      <c r="L230" s="1"/>
      <c r="M230" s="1"/>
      <c r="N230" s="1"/>
      <c r="O230" s="1"/>
      <c r="P230" s="1"/>
      <c r="Q230" s="1"/>
      <c r="R230" s="1"/>
      <c r="S230" s="1"/>
      <c r="T230" s="18"/>
      <c r="U230" s="18"/>
      <c r="V230" s="1"/>
      <c r="W230" s="1"/>
      <c r="X230" s="1"/>
      <c r="Y230" s="1"/>
      <c r="Z230" s="1"/>
      <c r="AA230" s="1"/>
      <c r="AB230" s="1"/>
      <c r="AC230" s="1"/>
      <c r="AD230" s="1"/>
      <c r="AE230" s="19"/>
    </row>
    <row r="231" spans="1:31" hidden="1">
      <c r="A231" s="2">
        <v>46169</v>
      </c>
      <c r="B231" s="1">
        <v>8000072584</v>
      </c>
      <c r="C231" s="3" t="s">
        <v>380</v>
      </c>
      <c r="D231" s="3" t="s">
        <v>265</v>
      </c>
      <c r="E231" s="1" t="s">
        <v>44</v>
      </c>
      <c r="F231" s="1" t="s">
        <v>44</v>
      </c>
      <c r="G231" s="1" t="s">
        <v>44</v>
      </c>
      <c r="H231" s="1"/>
      <c r="I231" s="1"/>
      <c r="J231" s="18"/>
      <c r="K231" s="1"/>
      <c r="L231" s="1"/>
      <c r="M231" s="1"/>
      <c r="N231" s="1"/>
      <c r="O231" s="1"/>
      <c r="P231" s="1"/>
      <c r="Q231" s="1"/>
      <c r="R231" s="1"/>
      <c r="S231" s="1"/>
      <c r="T231" s="18"/>
      <c r="U231" s="18"/>
      <c r="V231" s="1"/>
      <c r="W231" s="1"/>
      <c r="X231" s="1"/>
      <c r="Y231" s="1"/>
      <c r="Z231" s="1"/>
      <c r="AA231" s="1"/>
      <c r="AB231" s="1"/>
      <c r="AC231" s="1"/>
      <c r="AD231" s="1"/>
      <c r="AE231" s="19"/>
    </row>
    <row r="232" spans="1:31" hidden="1">
      <c r="A232" s="2">
        <v>46156</v>
      </c>
      <c r="B232" s="1">
        <v>8000072645</v>
      </c>
      <c r="C232" s="3" t="s">
        <v>381</v>
      </c>
      <c r="D232" s="3" t="s">
        <v>382</v>
      </c>
      <c r="E232" s="1" t="s">
        <v>44</v>
      </c>
      <c r="F232" s="1" t="s">
        <v>44</v>
      </c>
      <c r="G232" s="1" t="s">
        <v>44</v>
      </c>
      <c r="H232" s="1"/>
      <c r="I232" s="1"/>
      <c r="J232" s="18"/>
      <c r="K232" s="1"/>
      <c r="L232" s="1"/>
      <c r="M232" s="1"/>
      <c r="N232" s="1"/>
      <c r="O232" s="1"/>
      <c r="P232" s="1"/>
      <c r="Q232" s="1"/>
      <c r="R232" s="1"/>
      <c r="S232" s="1"/>
      <c r="T232" s="18"/>
      <c r="U232" s="18"/>
      <c r="V232" s="1"/>
      <c r="W232" s="1"/>
      <c r="X232" s="1"/>
      <c r="Y232" s="1"/>
      <c r="Z232" s="1"/>
      <c r="AA232" s="1"/>
      <c r="AB232" s="1"/>
      <c r="AC232" s="1"/>
      <c r="AD232" s="1"/>
      <c r="AE232" s="19"/>
    </row>
    <row r="233" spans="1:31" hidden="1">
      <c r="A233" s="2">
        <v>46174</v>
      </c>
      <c r="B233" s="1">
        <v>8000072678</v>
      </c>
      <c r="C233" s="3" t="s">
        <v>383</v>
      </c>
      <c r="D233" s="3" t="s">
        <v>79</v>
      </c>
      <c r="E233" s="1" t="s">
        <v>44</v>
      </c>
      <c r="F233" s="1" t="s">
        <v>44</v>
      </c>
      <c r="G233" s="1" t="s">
        <v>44</v>
      </c>
      <c r="H233" s="1"/>
      <c r="I233" s="1"/>
      <c r="J233" s="18"/>
      <c r="K233" s="1"/>
      <c r="L233" s="1"/>
      <c r="M233" s="1"/>
      <c r="N233" s="1"/>
      <c r="O233" s="1"/>
      <c r="P233" s="1"/>
      <c r="Q233" s="1"/>
      <c r="R233" s="1"/>
      <c r="S233" s="1"/>
      <c r="T233" s="18"/>
      <c r="U233" s="18"/>
      <c r="V233" s="1"/>
      <c r="W233" s="1"/>
      <c r="X233" s="1"/>
      <c r="Y233" s="1"/>
      <c r="Z233" s="1"/>
      <c r="AA233" s="1"/>
      <c r="AB233" s="1"/>
      <c r="AC233" s="1"/>
      <c r="AD233" s="1"/>
      <c r="AE233" s="19"/>
    </row>
    <row r="234" spans="1:31" hidden="1">
      <c r="A234" s="2">
        <v>46175</v>
      </c>
      <c r="B234" s="1">
        <v>8000072690</v>
      </c>
      <c r="C234" s="3" t="s">
        <v>384</v>
      </c>
      <c r="D234" s="3" t="s">
        <v>203</v>
      </c>
      <c r="E234" s="1" t="s">
        <v>44</v>
      </c>
      <c r="F234" s="1" t="s">
        <v>44</v>
      </c>
      <c r="G234" s="1" t="s">
        <v>44</v>
      </c>
      <c r="H234" s="1"/>
      <c r="I234" s="1"/>
      <c r="J234" s="18"/>
      <c r="K234" s="1"/>
      <c r="L234" s="1"/>
      <c r="M234" s="1"/>
      <c r="N234" s="1"/>
      <c r="O234" s="1"/>
      <c r="P234" s="1"/>
      <c r="Q234" s="1"/>
      <c r="R234" s="1"/>
      <c r="S234" s="1"/>
      <c r="T234" s="18"/>
      <c r="U234" s="18"/>
      <c r="V234" s="1"/>
      <c r="W234" s="1"/>
      <c r="X234" s="1"/>
      <c r="Y234" s="1"/>
      <c r="Z234" s="1"/>
      <c r="AA234" s="1"/>
      <c r="AB234" s="1"/>
      <c r="AC234" s="1"/>
      <c r="AD234" s="1"/>
      <c r="AE234" s="19"/>
    </row>
    <row r="235" spans="1:31">
      <c r="A235" s="2">
        <v>46164</v>
      </c>
      <c r="B235" s="1">
        <v>8000072696</v>
      </c>
      <c r="C235" s="3" t="s">
        <v>385</v>
      </c>
      <c r="D235" s="3" t="s">
        <v>41</v>
      </c>
      <c r="E235" s="1">
        <v>74</v>
      </c>
      <c r="F235" s="1">
        <v>74</v>
      </c>
      <c r="G235" t="s">
        <v>386</v>
      </c>
      <c r="H235" s="7">
        <v>0</v>
      </c>
      <c r="T235" s="7">
        <v>45</v>
      </c>
      <c r="U235" s="7">
        <v>37</v>
      </c>
      <c r="AA235" s="7">
        <f>SUM(H235:Z235)</f>
        <v>82</v>
      </c>
      <c r="AB235" s="10">
        <v>999999</v>
      </c>
      <c r="AD235" s="20">
        <v>14190.980000000001</v>
      </c>
      <c r="AE235" s="19">
        <f>Table8[[#This Row],[Total horas DME]]-Table8[[#This Row],[Horas sem Conversão]]</f>
        <v>8</v>
      </c>
    </row>
    <row r="236" spans="1:31" hidden="1">
      <c r="A236" s="2">
        <v>46176</v>
      </c>
      <c r="B236" s="1">
        <v>8000072743</v>
      </c>
      <c r="C236" s="3" t="s">
        <v>387</v>
      </c>
      <c r="D236" s="3" t="s">
        <v>203</v>
      </c>
      <c r="E236" s="1" t="s">
        <v>44</v>
      </c>
      <c r="F236" s="1" t="s">
        <v>44</v>
      </c>
      <c r="G236" s="1" t="s">
        <v>44</v>
      </c>
      <c r="H236" s="1"/>
      <c r="I236" s="1"/>
      <c r="J236" s="18"/>
      <c r="K236" s="1"/>
      <c r="L236" s="1"/>
      <c r="M236" s="1"/>
      <c r="N236" s="1"/>
      <c r="O236" s="1"/>
      <c r="P236" s="1"/>
      <c r="Q236" s="1"/>
      <c r="R236" s="1"/>
      <c r="S236" s="1"/>
      <c r="T236" s="18"/>
      <c r="U236" s="18"/>
      <c r="V236" s="1"/>
      <c r="W236" s="1"/>
      <c r="X236" s="1"/>
      <c r="Y236" s="1"/>
      <c r="Z236" s="1"/>
      <c r="AA236" s="1"/>
      <c r="AB236" s="1"/>
      <c r="AC236" s="1"/>
      <c r="AD236" s="1"/>
      <c r="AE236" s="19"/>
    </row>
    <row r="237" spans="1:31" hidden="1">
      <c r="A237" s="2">
        <v>46176</v>
      </c>
      <c r="B237" s="1">
        <v>8000072780</v>
      </c>
      <c r="C237" s="3" t="s">
        <v>388</v>
      </c>
      <c r="D237" s="3" t="s">
        <v>62</v>
      </c>
      <c r="E237" s="1" t="s">
        <v>44</v>
      </c>
      <c r="F237" s="1" t="s">
        <v>44</v>
      </c>
      <c r="G237" s="1" t="s">
        <v>44</v>
      </c>
      <c r="H237" s="1"/>
      <c r="I237" s="1"/>
      <c r="J237" s="18"/>
      <c r="K237" s="1"/>
      <c r="L237" s="1"/>
      <c r="M237" s="1"/>
      <c r="N237" s="1"/>
      <c r="O237" s="1"/>
      <c r="P237" s="1"/>
      <c r="Q237" s="1"/>
      <c r="R237" s="1"/>
      <c r="S237" s="1"/>
      <c r="T237" s="18"/>
      <c r="U237" s="18"/>
      <c r="V237" s="1"/>
      <c r="W237" s="1"/>
      <c r="X237" s="1"/>
      <c r="Y237" s="1"/>
      <c r="Z237" s="1"/>
      <c r="AA237" s="1"/>
      <c r="AB237" s="1"/>
      <c r="AC237" s="1"/>
      <c r="AD237" s="1"/>
      <c r="AE237" s="19"/>
    </row>
    <row r="238" spans="1:31">
      <c r="A238" s="2">
        <v>46164</v>
      </c>
      <c r="B238" s="1">
        <v>8000072892</v>
      </c>
      <c r="C238" s="3" t="s">
        <v>389</v>
      </c>
      <c r="D238" s="3" t="s">
        <v>41</v>
      </c>
      <c r="E238" s="1">
        <v>74</v>
      </c>
      <c r="F238" s="1">
        <v>74</v>
      </c>
      <c r="G238" t="s">
        <v>390</v>
      </c>
      <c r="H238" s="7">
        <v>0</v>
      </c>
      <c r="N238" s="7">
        <v>46</v>
      </c>
      <c r="U238" s="7">
        <v>36</v>
      </c>
      <c r="AA238" s="7">
        <f>SUM(H238:Z238)</f>
        <v>82</v>
      </c>
      <c r="AD238" s="20">
        <v>14190.980000000001</v>
      </c>
      <c r="AE238" s="19">
        <f>Table8[[#This Row],[Total horas DME]]-Table8[[#This Row],[Horas sem Conversão]]</f>
        <v>8</v>
      </c>
    </row>
    <row r="239" spans="1:31" hidden="1">
      <c r="A239" s="2">
        <v>46174</v>
      </c>
      <c r="B239" s="1">
        <v>8000072997</v>
      </c>
      <c r="C239" s="3" t="s">
        <v>391</v>
      </c>
      <c r="D239" s="3" t="s">
        <v>203</v>
      </c>
      <c r="E239" s="1" t="s">
        <v>44</v>
      </c>
      <c r="F239" s="1" t="s">
        <v>44</v>
      </c>
      <c r="G239" s="1" t="s">
        <v>44</v>
      </c>
      <c r="H239" s="1"/>
      <c r="I239" s="1"/>
      <c r="J239" s="18"/>
      <c r="K239" s="1"/>
      <c r="L239" s="1"/>
      <c r="M239" s="1"/>
      <c r="N239" s="1"/>
      <c r="O239" s="1"/>
      <c r="P239" s="1"/>
      <c r="Q239" s="1"/>
      <c r="R239" s="1"/>
      <c r="S239" s="1"/>
      <c r="T239" s="18"/>
      <c r="U239" s="18"/>
      <c r="V239" s="1"/>
      <c r="W239" s="1"/>
      <c r="X239" s="1"/>
      <c r="Y239" s="1"/>
      <c r="Z239" s="1"/>
      <c r="AA239" s="1"/>
      <c r="AB239" s="1"/>
      <c r="AC239" s="1"/>
      <c r="AD239" s="1"/>
      <c r="AE239" s="19"/>
    </row>
    <row r="240" spans="1:31" hidden="1">
      <c r="A240" s="2">
        <v>46174</v>
      </c>
      <c r="B240" s="1">
        <v>8000073033</v>
      </c>
      <c r="C240" s="3" t="s">
        <v>392</v>
      </c>
      <c r="D240" s="3" t="s">
        <v>203</v>
      </c>
      <c r="E240" s="1" t="s">
        <v>44</v>
      </c>
      <c r="F240" s="1" t="s">
        <v>44</v>
      </c>
      <c r="G240" s="1" t="s">
        <v>44</v>
      </c>
      <c r="H240" s="1"/>
      <c r="I240" s="1"/>
      <c r="J240" s="18"/>
      <c r="K240" s="1"/>
      <c r="L240" s="1"/>
      <c r="M240" s="1"/>
      <c r="N240" s="1"/>
      <c r="O240" s="1"/>
      <c r="P240" s="1"/>
      <c r="Q240" s="1"/>
      <c r="R240" s="1"/>
      <c r="S240" s="1"/>
      <c r="T240" s="18"/>
      <c r="U240" s="18"/>
      <c r="V240" s="1"/>
      <c r="W240" s="1"/>
      <c r="X240" s="1"/>
      <c r="Y240" s="1"/>
      <c r="Z240" s="1"/>
      <c r="AA240" s="1"/>
      <c r="AB240" s="1"/>
      <c r="AC240" s="1"/>
      <c r="AD240" s="1"/>
      <c r="AE240" s="19"/>
    </row>
    <row r="241" spans="1:31" hidden="1">
      <c r="A241" s="2">
        <v>46178</v>
      </c>
      <c r="B241" s="1">
        <v>8000073034</v>
      </c>
      <c r="C241" s="3" t="s">
        <v>393</v>
      </c>
      <c r="D241" s="3" t="s">
        <v>203</v>
      </c>
      <c r="E241" s="1" t="s">
        <v>44</v>
      </c>
      <c r="F241" s="1" t="s">
        <v>44</v>
      </c>
      <c r="G241" s="1" t="s">
        <v>44</v>
      </c>
      <c r="H241" s="1"/>
      <c r="I241" s="1"/>
      <c r="J241" s="18"/>
      <c r="K241" s="1"/>
      <c r="L241" s="1"/>
      <c r="M241" s="1"/>
      <c r="N241" s="1"/>
      <c r="O241" s="1"/>
      <c r="P241" s="1"/>
      <c r="Q241" s="1"/>
      <c r="R241" s="1"/>
      <c r="S241" s="1"/>
      <c r="T241" s="18"/>
      <c r="U241" s="18"/>
      <c r="V241" s="1"/>
      <c r="W241" s="1"/>
      <c r="X241" s="1"/>
      <c r="Y241" s="1"/>
      <c r="Z241" s="1"/>
      <c r="AA241" s="1"/>
      <c r="AB241" s="1"/>
      <c r="AC241" s="1"/>
      <c r="AD241" s="1"/>
      <c r="AE241" s="19"/>
    </row>
    <row r="242" spans="1:31" hidden="1">
      <c r="A242" s="2">
        <v>46182</v>
      </c>
      <c r="B242" s="1">
        <v>8000073073</v>
      </c>
      <c r="C242" s="3" t="s">
        <v>394</v>
      </c>
      <c r="D242" s="3" t="s">
        <v>41</v>
      </c>
      <c r="E242" s="1" t="s">
        <v>44</v>
      </c>
      <c r="F242" s="1" t="s">
        <v>44</v>
      </c>
      <c r="G242" s="1" t="s">
        <v>44</v>
      </c>
      <c r="H242" s="1"/>
      <c r="I242" s="1"/>
      <c r="J242" s="18"/>
      <c r="K242" s="1"/>
      <c r="L242" s="1"/>
      <c r="M242" s="1"/>
      <c r="N242" s="1"/>
      <c r="O242" s="1"/>
      <c r="P242" s="1"/>
      <c r="Q242" s="1"/>
      <c r="R242" s="1"/>
      <c r="S242" s="1"/>
      <c r="T242" s="18"/>
      <c r="U242" s="18"/>
      <c r="V242" s="1"/>
      <c r="W242" s="1"/>
      <c r="X242" s="1"/>
      <c r="Y242" s="1"/>
      <c r="Z242" s="1"/>
      <c r="AA242" s="1"/>
      <c r="AB242" s="1"/>
      <c r="AC242" s="1"/>
      <c r="AD242" s="1"/>
      <c r="AE242" s="19"/>
    </row>
    <row r="243" spans="1:31" hidden="1">
      <c r="A243" s="2">
        <v>46178</v>
      </c>
      <c r="B243" s="1">
        <v>8000073099</v>
      </c>
      <c r="C243" s="3" t="s">
        <v>395</v>
      </c>
      <c r="D243" s="3" t="s">
        <v>75</v>
      </c>
      <c r="E243" s="1" t="s">
        <v>44</v>
      </c>
      <c r="F243" s="1" t="s">
        <v>44</v>
      </c>
      <c r="G243" s="1" t="s">
        <v>44</v>
      </c>
      <c r="H243" s="1"/>
      <c r="I243" s="1"/>
      <c r="J243" s="18"/>
      <c r="K243" s="1"/>
      <c r="L243" s="1"/>
      <c r="M243" s="1"/>
      <c r="N243" s="1"/>
      <c r="O243" s="1"/>
      <c r="P243" s="1"/>
      <c r="Q243" s="1"/>
      <c r="R243" s="1"/>
      <c r="S243" s="1"/>
      <c r="T243" s="18"/>
      <c r="U243" s="18"/>
      <c r="V243" s="1"/>
      <c r="W243" s="1"/>
      <c r="X243" s="1"/>
      <c r="Y243" s="1"/>
      <c r="Z243" s="1"/>
      <c r="AA243" s="1"/>
      <c r="AB243" s="1"/>
      <c r="AC243" s="1"/>
      <c r="AD243" s="1"/>
      <c r="AE243" s="19"/>
    </row>
    <row r="244" spans="1:31" hidden="1">
      <c r="A244" s="2">
        <v>46176</v>
      </c>
      <c r="B244" s="1">
        <v>8000073376</v>
      </c>
      <c r="C244" s="3" t="s">
        <v>396</v>
      </c>
      <c r="D244" s="3" t="s">
        <v>75</v>
      </c>
      <c r="E244" s="1" t="s">
        <v>44</v>
      </c>
      <c r="F244" s="1" t="s">
        <v>44</v>
      </c>
      <c r="G244" s="1" t="s">
        <v>44</v>
      </c>
      <c r="H244" s="1"/>
      <c r="I244" s="1"/>
      <c r="J244" s="18"/>
      <c r="K244" s="1"/>
      <c r="L244" s="1"/>
      <c r="M244" s="1"/>
      <c r="N244" s="1"/>
      <c r="O244" s="1"/>
      <c r="P244" s="1"/>
      <c r="Q244" s="1"/>
      <c r="R244" s="1"/>
      <c r="S244" s="1"/>
      <c r="T244" s="18"/>
      <c r="U244" s="18"/>
      <c r="V244" s="1"/>
      <c r="W244" s="1"/>
      <c r="X244" s="1"/>
      <c r="Y244" s="1"/>
      <c r="Z244" s="1"/>
      <c r="AA244" s="1"/>
      <c r="AB244" s="1"/>
      <c r="AC244" s="1"/>
      <c r="AD244" s="1"/>
      <c r="AE244" s="19"/>
    </row>
    <row r="245" spans="1:31" hidden="1">
      <c r="A245" s="2">
        <v>46175</v>
      </c>
      <c r="B245" s="1">
        <v>8000073377</v>
      </c>
      <c r="C245" s="3" t="s">
        <v>397</v>
      </c>
      <c r="D245" s="3" t="s">
        <v>75</v>
      </c>
      <c r="E245" s="1" t="s">
        <v>44</v>
      </c>
      <c r="F245" s="1" t="s">
        <v>44</v>
      </c>
      <c r="G245" s="1" t="s">
        <v>44</v>
      </c>
      <c r="H245" s="1"/>
      <c r="I245" s="1"/>
      <c r="J245" s="18"/>
      <c r="K245" s="1"/>
      <c r="L245" s="1"/>
      <c r="M245" s="1"/>
      <c r="N245" s="1"/>
      <c r="O245" s="1"/>
      <c r="P245" s="1"/>
      <c r="Q245" s="1"/>
      <c r="R245" s="1"/>
      <c r="S245" s="1"/>
      <c r="T245" s="18"/>
      <c r="U245" s="18"/>
      <c r="V245" s="1"/>
      <c r="W245" s="1"/>
      <c r="X245" s="1"/>
      <c r="Y245" s="1"/>
      <c r="Z245" s="1"/>
      <c r="AA245" s="1"/>
      <c r="AB245" s="1"/>
      <c r="AC245" s="1"/>
      <c r="AD245" s="1"/>
      <c r="AE245" s="19"/>
    </row>
    <row r="246" spans="1:31" hidden="1">
      <c r="A246" s="2">
        <v>46176</v>
      </c>
      <c r="B246" s="1">
        <v>8000073389</v>
      </c>
      <c r="C246" s="3" t="s">
        <v>398</v>
      </c>
      <c r="D246" s="3" t="s">
        <v>54</v>
      </c>
      <c r="E246" s="1" t="s">
        <v>44</v>
      </c>
      <c r="F246" s="1" t="s">
        <v>44</v>
      </c>
      <c r="G246" s="1" t="s">
        <v>44</v>
      </c>
      <c r="H246" s="1"/>
      <c r="I246" s="1"/>
      <c r="J246" s="18"/>
      <c r="K246" s="1"/>
      <c r="L246" s="1"/>
      <c r="M246" s="1"/>
      <c r="N246" s="1"/>
      <c r="O246" s="1"/>
      <c r="P246" s="1"/>
      <c r="Q246" s="1"/>
      <c r="R246" s="1"/>
      <c r="S246" s="1"/>
      <c r="T246" s="18"/>
      <c r="U246" s="18"/>
      <c r="V246" s="1"/>
      <c r="W246" s="1"/>
      <c r="X246" s="1"/>
      <c r="Y246" s="1"/>
      <c r="Z246" s="1"/>
      <c r="AA246" s="1"/>
      <c r="AB246" s="1"/>
      <c r="AC246" s="1"/>
      <c r="AD246" s="1"/>
      <c r="AE246" s="19"/>
    </row>
    <row r="247" spans="1:31">
      <c r="A247" s="2">
        <v>46182</v>
      </c>
      <c r="B247" s="1">
        <v>8000073428</v>
      </c>
      <c r="C247" s="3" t="s">
        <v>399</v>
      </c>
      <c r="D247" s="3" t="s">
        <v>41</v>
      </c>
      <c r="E247" s="1">
        <v>46</v>
      </c>
      <c r="F247" s="1">
        <v>46</v>
      </c>
      <c r="G247" t="s">
        <v>400</v>
      </c>
      <c r="H247" s="7">
        <v>0</v>
      </c>
      <c r="T247" s="7">
        <v>25</v>
      </c>
      <c r="U247" s="7">
        <v>21</v>
      </c>
      <c r="AA247" s="7">
        <f>SUM(H247:Z247)</f>
        <v>46</v>
      </c>
      <c r="AB247" s="10">
        <v>999999</v>
      </c>
      <c r="AD247" s="20">
        <v>8821.42</v>
      </c>
      <c r="AE247" s="19"/>
    </row>
    <row r="248" spans="1:31" hidden="1">
      <c r="A248" s="2">
        <v>46181</v>
      </c>
      <c r="B248" s="1">
        <v>8000073432</v>
      </c>
      <c r="C248" s="3" t="s">
        <v>401</v>
      </c>
      <c r="D248" s="3" t="s">
        <v>62</v>
      </c>
      <c r="E248" s="1" t="s">
        <v>44</v>
      </c>
      <c r="F248" s="1" t="s">
        <v>44</v>
      </c>
      <c r="G248" s="1" t="s">
        <v>44</v>
      </c>
      <c r="H248" s="1"/>
      <c r="I248" s="1"/>
      <c r="J248" s="18"/>
      <c r="K248" s="1"/>
      <c r="L248" s="1"/>
      <c r="M248" s="1"/>
      <c r="N248" s="1"/>
      <c r="O248" s="1"/>
      <c r="P248" s="1"/>
      <c r="Q248" s="1"/>
      <c r="R248" s="1"/>
      <c r="S248" s="1"/>
      <c r="T248" s="18"/>
      <c r="U248" s="18"/>
      <c r="V248" s="1"/>
      <c r="W248" s="1"/>
      <c r="X248" s="1"/>
      <c r="Y248" s="1"/>
      <c r="Z248" s="1"/>
      <c r="AA248" s="1"/>
      <c r="AB248" s="1"/>
      <c r="AC248" s="1"/>
      <c r="AD248" s="1"/>
      <c r="AE248" s="19"/>
    </row>
    <row r="249" spans="1:31" hidden="1">
      <c r="A249" s="2">
        <v>46178</v>
      </c>
      <c r="B249" s="1">
        <v>8000073526</v>
      </c>
      <c r="C249" s="3" t="s">
        <v>402</v>
      </c>
      <c r="D249" s="3" t="s">
        <v>75</v>
      </c>
      <c r="E249" s="1" t="s">
        <v>44</v>
      </c>
      <c r="F249" s="1" t="s">
        <v>44</v>
      </c>
      <c r="G249" s="1" t="s">
        <v>44</v>
      </c>
      <c r="H249" s="1"/>
      <c r="I249" s="1"/>
      <c r="J249" s="18"/>
      <c r="K249" s="1"/>
      <c r="L249" s="1"/>
      <c r="M249" s="1"/>
      <c r="N249" s="1"/>
      <c r="O249" s="1"/>
      <c r="P249" s="1"/>
      <c r="Q249" s="1"/>
      <c r="R249" s="1"/>
      <c r="S249" s="1"/>
      <c r="T249" s="18"/>
      <c r="U249" s="18"/>
      <c r="V249" s="1"/>
      <c r="W249" s="1"/>
      <c r="X249" s="1"/>
      <c r="Y249" s="1"/>
      <c r="Z249" s="1"/>
      <c r="AA249" s="1"/>
      <c r="AB249" s="1"/>
      <c r="AC249" s="1"/>
      <c r="AD249" s="1"/>
      <c r="AE249" s="19"/>
    </row>
    <row r="250" spans="1:31" hidden="1">
      <c r="A250" s="2">
        <v>46176</v>
      </c>
      <c r="B250" s="1">
        <v>8000073565</v>
      </c>
      <c r="C250" s="3" t="s">
        <v>354</v>
      </c>
      <c r="D250" s="3" t="s">
        <v>62</v>
      </c>
      <c r="E250" s="1" t="s">
        <v>44</v>
      </c>
      <c r="F250" s="1" t="s">
        <v>44</v>
      </c>
      <c r="G250" s="1" t="s">
        <v>44</v>
      </c>
      <c r="H250" s="1"/>
      <c r="I250" s="1"/>
      <c r="J250" s="18"/>
      <c r="K250" s="1"/>
      <c r="L250" s="1"/>
      <c r="M250" s="1"/>
      <c r="N250" s="1"/>
      <c r="O250" s="1"/>
      <c r="P250" s="1"/>
      <c r="Q250" s="1"/>
      <c r="R250" s="1"/>
      <c r="S250" s="1"/>
      <c r="T250" s="18"/>
      <c r="U250" s="18"/>
      <c r="V250" s="1"/>
      <c r="W250" s="1"/>
      <c r="X250" s="1"/>
      <c r="Y250" s="1"/>
      <c r="Z250" s="1"/>
      <c r="AA250" s="1"/>
      <c r="AB250" s="1"/>
      <c r="AC250" s="1"/>
      <c r="AD250" s="1"/>
      <c r="AE250" s="19"/>
    </row>
    <row r="251" spans="1:31" hidden="1">
      <c r="A251" s="2">
        <v>46181</v>
      </c>
      <c r="B251" s="1">
        <v>8000073684</v>
      </c>
      <c r="C251" s="3" t="s">
        <v>403</v>
      </c>
      <c r="D251" s="3" t="s">
        <v>62</v>
      </c>
      <c r="E251" s="1" t="s">
        <v>44</v>
      </c>
      <c r="F251" s="1" t="s">
        <v>44</v>
      </c>
      <c r="G251" s="1" t="s">
        <v>44</v>
      </c>
      <c r="H251" s="1"/>
      <c r="I251" s="1"/>
      <c r="J251" s="18"/>
      <c r="K251" s="1"/>
      <c r="L251" s="1"/>
      <c r="M251" s="1"/>
      <c r="N251" s="1"/>
      <c r="O251" s="1"/>
      <c r="P251" s="1"/>
      <c r="Q251" s="1"/>
      <c r="R251" s="1"/>
      <c r="S251" s="1"/>
      <c r="T251" s="18"/>
      <c r="U251" s="18"/>
      <c r="V251" s="1"/>
      <c r="W251" s="1"/>
      <c r="X251" s="1"/>
      <c r="Y251" s="1"/>
      <c r="Z251" s="1"/>
      <c r="AA251" s="1"/>
      <c r="AB251" s="1"/>
      <c r="AC251" s="1"/>
      <c r="AD251" s="1"/>
      <c r="AE251" s="19"/>
    </row>
    <row r="252" spans="1:31" hidden="1">
      <c r="A252" s="2">
        <v>46183</v>
      </c>
      <c r="B252" s="1">
        <v>8000073767</v>
      </c>
      <c r="C252" s="3" t="s">
        <v>404</v>
      </c>
      <c r="D252" s="3" t="s">
        <v>75</v>
      </c>
      <c r="E252" s="1" t="s">
        <v>44</v>
      </c>
      <c r="F252" s="1" t="s">
        <v>44</v>
      </c>
      <c r="G252" s="1" t="s">
        <v>44</v>
      </c>
      <c r="H252" s="1"/>
      <c r="I252" s="1"/>
      <c r="J252" s="18"/>
      <c r="K252" s="1"/>
      <c r="L252" s="1"/>
      <c r="M252" s="1"/>
      <c r="N252" s="1"/>
      <c r="O252" s="1"/>
      <c r="P252" s="1"/>
      <c r="Q252" s="1"/>
      <c r="R252" s="1"/>
      <c r="S252" s="1"/>
      <c r="T252" s="18"/>
      <c r="U252" s="18"/>
      <c r="V252" s="1"/>
      <c r="W252" s="1"/>
      <c r="X252" s="1"/>
      <c r="Y252" s="1"/>
      <c r="Z252" s="1"/>
      <c r="AA252" s="1"/>
      <c r="AB252" s="1"/>
      <c r="AC252" s="1"/>
      <c r="AD252" s="1"/>
      <c r="AE252" s="19"/>
    </row>
    <row r="253" spans="1:31" ht="15" hidden="1" customHeight="1">
      <c r="A253" s="2"/>
      <c r="B253" s="1"/>
      <c r="D253" s="3"/>
      <c r="E253" s="1"/>
      <c r="F253" s="1"/>
      <c r="G253" s="1"/>
      <c r="H253" s="19"/>
      <c r="I253" s="19"/>
      <c r="K253" s="19"/>
      <c r="L253" s="19"/>
      <c r="M253" s="19"/>
      <c r="N253" s="19"/>
      <c r="O253" s="19"/>
      <c r="P253" s="19"/>
      <c r="Q253" s="19"/>
      <c r="R253" s="19"/>
      <c r="S253" s="19"/>
      <c r="V253" s="19"/>
      <c r="W253" s="19"/>
      <c r="X253" s="19"/>
      <c r="Y253" s="19"/>
      <c r="Z253" s="19"/>
      <c r="AA253" s="19"/>
      <c r="AB253" s="20"/>
      <c r="AC253" s="20"/>
      <c r="AD253" s="20"/>
      <c r="AE253" s="19"/>
    </row>
    <row r="254" spans="1:31" ht="15" hidden="1" customHeight="1">
      <c r="A254" s="2"/>
      <c r="B254" s="1"/>
      <c r="D254" s="3"/>
      <c r="E254" s="1"/>
      <c r="F254" s="1"/>
      <c r="G254" s="1"/>
      <c r="H254" s="19"/>
      <c r="I254" s="19"/>
      <c r="K254" s="19"/>
      <c r="L254" s="19"/>
      <c r="M254" s="19"/>
      <c r="N254" s="19"/>
      <c r="O254" s="19"/>
      <c r="P254" s="19"/>
      <c r="Q254" s="19"/>
      <c r="R254" s="19"/>
      <c r="S254" s="19"/>
      <c r="V254" s="19"/>
      <c r="W254" s="19"/>
      <c r="X254" s="19"/>
      <c r="Y254" s="19"/>
      <c r="Z254" s="19"/>
      <c r="AA254" s="19"/>
      <c r="AB254" s="20"/>
      <c r="AC254" s="20"/>
      <c r="AD254" s="20"/>
      <c r="AE254" s="19"/>
    </row>
  </sheetData>
  <conditionalFormatting sqref="A1:B1">
    <cfRule type="duplicateValues" dxfId="80" priority="1"/>
  </conditionalFormatting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B3B46-5367-48B6-876E-C916ABC1B0D6}">
  <dimension ref="A1:G24"/>
  <sheetViews>
    <sheetView topLeftCell="C1" workbookViewId="0">
      <selection activeCell="D20" sqref="D20"/>
    </sheetView>
  </sheetViews>
  <sheetFormatPr defaultRowHeight="14.45"/>
  <cols>
    <col min="1" max="1" width="10.7109375" customWidth="1"/>
    <col min="2" max="2" width="11" bestFit="1" customWidth="1"/>
    <col min="3" max="3" width="43.42578125" bestFit="1" customWidth="1"/>
    <col min="4" max="4" width="52" bestFit="1" customWidth="1"/>
    <col min="5" max="5" width="20.42578125" customWidth="1"/>
    <col min="6" max="6" width="20.5703125" customWidth="1"/>
    <col min="7" max="7" width="74.28515625" bestFit="1" customWidth="1"/>
  </cols>
  <sheetData>
    <row r="1" spans="1:7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>
      <c r="A2" s="2">
        <v>46042</v>
      </c>
      <c r="B2" s="1">
        <v>8000066095</v>
      </c>
      <c r="C2" s="3" t="s">
        <v>40</v>
      </c>
      <c r="D2" s="3" t="s">
        <v>41</v>
      </c>
      <c r="E2" s="1">
        <v>92</v>
      </c>
      <c r="F2" s="1">
        <v>92</v>
      </c>
      <c r="G2" t="s">
        <v>42</v>
      </c>
    </row>
    <row r="3" spans="1:7">
      <c r="A3" s="2">
        <v>46043</v>
      </c>
      <c r="B3" s="1">
        <v>8000066206</v>
      </c>
      <c r="C3" s="3" t="s">
        <v>48</v>
      </c>
      <c r="D3" s="3" t="s">
        <v>41</v>
      </c>
      <c r="E3" s="1">
        <v>67</v>
      </c>
      <c r="F3" s="1">
        <v>67</v>
      </c>
      <c r="G3" t="s">
        <v>49</v>
      </c>
    </row>
    <row r="4" spans="1:7">
      <c r="A4" s="2">
        <v>46021</v>
      </c>
      <c r="B4" s="1">
        <v>8000066328</v>
      </c>
      <c r="C4" s="3" t="s">
        <v>50</v>
      </c>
      <c r="D4" s="3" t="s">
        <v>41</v>
      </c>
      <c r="E4" s="1" t="s">
        <v>44</v>
      </c>
      <c r="F4" s="1" t="s">
        <v>44</v>
      </c>
      <c r="G4" s="1" t="s">
        <v>44</v>
      </c>
    </row>
    <row r="5" spans="1:7">
      <c r="A5" s="2">
        <v>46024</v>
      </c>
      <c r="B5" s="1">
        <v>8000066329</v>
      </c>
      <c r="C5" s="3" t="s">
        <v>51</v>
      </c>
      <c r="D5" s="3" t="s">
        <v>46</v>
      </c>
      <c r="E5" s="1">
        <v>139</v>
      </c>
      <c r="F5" s="1">
        <v>139</v>
      </c>
      <c r="G5" t="s">
        <v>52</v>
      </c>
    </row>
    <row r="6" spans="1:7">
      <c r="A6" s="2">
        <v>46037</v>
      </c>
      <c r="B6" s="1">
        <v>8000066354</v>
      </c>
      <c r="C6" s="3" t="s">
        <v>53</v>
      </c>
      <c r="D6" s="3" t="s">
        <v>54</v>
      </c>
      <c r="E6" s="1" t="s">
        <v>44</v>
      </c>
      <c r="F6" s="1" t="s">
        <v>44</v>
      </c>
      <c r="G6" s="1" t="s">
        <v>44</v>
      </c>
    </row>
    <row r="7" spans="1:7">
      <c r="A7" s="2">
        <v>46028</v>
      </c>
      <c r="B7" s="1">
        <v>8000066397</v>
      </c>
      <c r="C7" s="3" t="s">
        <v>55</v>
      </c>
      <c r="D7" s="3" t="s">
        <v>56</v>
      </c>
      <c r="E7" s="1">
        <v>53.05</v>
      </c>
      <c r="F7" s="1">
        <v>51.97</v>
      </c>
      <c r="G7" t="s">
        <v>57</v>
      </c>
    </row>
    <row r="8" spans="1:7">
      <c r="A8" s="2">
        <v>46020</v>
      </c>
      <c r="B8" s="1">
        <v>8000066545</v>
      </c>
      <c r="C8" s="3" t="s">
        <v>60</v>
      </c>
      <c r="D8" s="3" t="s">
        <v>54</v>
      </c>
      <c r="E8" s="1" t="s">
        <v>44</v>
      </c>
      <c r="F8" s="1" t="s">
        <v>44</v>
      </c>
      <c r="G8" s="1" t="s">
        <v>44</v>
      </c>
    </row>
    <row r="9" spans="1:7">
      <c r="A9" s="2">
        <v>46028</v>
      </c>
      <c r="B9" s="1">
        <v>8000066604</v>
      </c>
      <c r="C9" s="3" t="s">
        <v>61</v>
      </c>
      <c r="D9" s="3" t="s">
        <v>62</v>
      </c>
      <c r="E9" s="1">
        <v>160.06</v>
      </c>
      <c r="F9" s="1">
        <v>157.16999999999999</v>
      </c>
      <c r="G9" t="s">
        <v>63</v>
      </c>
    </row>
    <row r="10" spans="1:7">
      <c r="A10" s="2">
        <v>46030</v>
      </c>
      <c r="B10" s="1">
        <v>8000066606</v>
      </c>
      <c r="C10" s="3" t="s">
        <v>64</v>
      </c>
      <c r="D10" s="3" t="s">
        <v>41</v>
      </c>
      <c r="E10" s="1" t="s">
        <v>44</v>
      </c>
      <c r="F10" s="1" t="s">
        <v>44</v>
      </c>
      <c r="G10" s="1" t="s">
        <v>44</v>
      </c>
    </row>
    <row r="11" spans="1:7">
      <c r="A11" s="2">
        <v>46037</v>
      </c>
      <c r="B11" s="1">
        <v>8000066611</v>
      </c>
      <c r="C11" s="3" t="s">
        <v>65</v>
      </c>
      <c r="D11" s="3" t="s">
        <v>56</v>
      </c>
      <c r="E11" s="1" t="s">
        <v>44</v>
      </c>
      <c r="F11" s="1" t="s">
        <v>44</v>
      </c>
      <c r="G11" s="1" t="s">
        <v>44</v>
      </c>
    </row>
    <row r="12" spans="1:7">
      <c r="A12" s="2">
        <v>46017</v>
      </c>
      <c r="B12" s="1">
        <v>8000066654</v>
      </c>
      <c r="C12" s="3" t="s">
        <v>70</v>
      </c>
      <c r="D12" s="3" t="s">
        <v>62</v>
      </c>
      <c r="E12" s="1" t="s">
        <v>44</v>
      </c>
      <c r="F12" s="1" t="s">
        <v>44</v>
      </c>
      <c r="G12" s="1" t="s">
        <v>44</v>
      </c>
    </row>
    <row r="13" spans="1:7">
      <c r="A13" s="2">
        <v>46029</v>
      </c>
      <c r="B13" s="1">
        <v>8000066763</v>
      </c>
      <c r="C13" s="3" t="s">
        <v>74</v>
      </c>
      <c r="D13" s="3" t="s">
        <v>75</v>
      </c>
      <c r="E13" s="1" t="s">
        <v>44</v>
      </c>
      <c r="F13" s="1" t="s">
        <v>44</v>
      </c>
      <c r="G13" s="1" t="s">
        <v>44</v>
      </c>
    </row>
    <row r="14" spans="1:7">
      <c r="A14" s="2">
        <v>46024</v>
      </c>
      <c r="B14" s="1">
        <v>8000066800</v>
      </c>
      <c r="C14" s="3" t="s">
        <v>80</v>
      </c>
      <c r="D14" s="3" t="s">
        <v>62</v>
      </c>
      <c r="E14" s="1" t="s">
        <v>44</v>
      </c>
      <c r="F14" s="1" t="s">
        <v>44</v>
      </c>
      <c r="G14" s="1" t="s">
        <v>44</v>
      </c>
    </row>
    <row r="15" spans="1:7">
      <c r="A15" s="2">
        <v>46037</v>
      </c>
      <c r="B15" s="1">
        <v>8000066977</v>
      </c>
      <c r="C15" s="3" t="s">
        <v>90</v>
      </c>
      <c r="D15" s="3" t="s">
        <v>62</v>
      </c>
      <c r="E15" s="1" t="s">
        <v>44</v>
      </c>
      <c r="F15" s="1" t="s">
        <v>44</v>
      </c>
      <c r="G15" s="1" t="s">
        <v>44</v>
      </c>
    </row>
    <row r="16" spans="1:7">
      <c r="A16" s="2">
        <v>46030</v>
      </c>
      <c r="B16" s="1">
        <v>8000067135</v>
      </c>
      <c r="C16" s="3" t="s">
        <v>97</v>
      </c>
      <c r="D16" s="3" t="s">
        <v>41</v>
      </c>
      <c r="E16" s="1">
        <v>86</v>
      </c>
      <c r="F16" s="1">
        <v>86</v>
      </c>
      <c r="G16" t="s">
        <v>98</v>
      </c>
    </row>
    <row r="17" spans="1:7">
      <c r="A17" s="2">
        <v>46041</v>
      </c>
      <c r="B17" s="1">
        <v>8000067161</v>
      </c>
      <c r="C17" s="3" t="s">
        <v>99</v>
      </c>
      <c r="D17" s="3" t="s">
        <v>75</v>
      </c>
      <c r="E17" s="1" t="s">
        <v>44</v>
      </c>
      <c r="F17" s="1" t="s">
        <v>44</v>
      </c>
      <c r="G17" s="1" t="s">
        <v>44</v>
      </c>
    </row>
    <row r="18" spans="1:7">
      <c r="A18" s="2">
        <v>46024</v>
      </c>
      <c r="B18" s="1">
        <v>8000067180</v>
      </c>
      <c r="C18" s="3" t="s">
        <v>100</v>
      </c>
      <c r="D18" s="3" t="s">
        <v>41</v>
      </c>
      <c r="E18" s="1" t="s">
        <v>44</v>
      </c>
      <c r="F18" s="1" t="s">
        <v>44</v>
      </c>
      <c r="G18" s="1" t="s">
        <v>44</v>
      </c>
    </row>
    <row r="19" spans="1:7">
      <c r="A19" s="2">
        <v>46035</v>
      </c>
      <c r="B19" s="1">
        <v>8000067329</v>
      </c>
      <c r="C19" s="3" t="s">
        <v>109</v>
      </c>
      <c r="D19" s="3" t="s">
        <v>105</v>
      </c>
      <c r="E19" s="1">
        <v>92</v>
      </c>
      <c r="F19" s="1">
        <v>104.99</v>
      </c>
      <c r="G19" t="s">
        <v>110</v>
      </c>
    </row>
    <row r="20" spans="1:7">
      <c r="A20" s="2">
        <v>46035</v>
      </c>
      <c r="B20" s="1">
        <v>8000067408</v>
      </c>
      <c r="C20" s="3" t="s">
        <v>113</v>
      </c>
      <c r="D20" s="3" t="s">
        <v>41</v>
      </c>
      <c r="E20" s="1">
        <v>57</v>
      </c>
      <c r="F20" s="1">
        <v>57</v>
      </c>
      <c r="G20" t="s">
        <v>114</v>
      </c>
    </row>
    <row r="21" spans="1:7">
      <c r="A21" s="2">
        <v>46043</v>
      </c>
      <c r="B21" s="1">
        <v>8000067426</v>
      </c>
      <c r="C21" s="3" t="s">
        <v>115</v>
      </c>
      <c r="D21" s="3" t="s">
        <v>41</v>
      </c>
      <c r="E21" s="1">
        <v>38</v>
      </c>
      <c r="F21" s="1">
        <v>38</v>
      </c>
      <c r="G21" t="s">
        <v>116</v>
      </c>
    </row>
    <row r="22" spans="1:7">
      <c r="A22" s="2">
        <v>46044</v>
      </c>
      <c r="B22" s="1">
        <v>8000067447</v>
      </c>
      <c r="C22" s="3" t="s">
        <v>117</v>
      </c>
      <c r="D22" s="3" t="s">
        <v>62</v>
      </c>
      <c r="E22" s="1" t="s">
        <v>44</v>
      </c>
      <c r="F22" s="1" t="s">
        <v>44</v>
      </c>
      <c r="G22" s="1" t="s">
        <v>44</v>
      </c>
    </row>
    <row r="23" spans="1:7">
      <c r="A23" s="2">
        <v>46044</v>
      </c>
      <c r="B23" s="1">
        <v>8000067581</v>
      </c>
      <c r="C23" s="3" t="s">
        <v>126</v>
      </c>
      <c r="D23" s="3" t="s">
        <v>105</v>
      </c>
      <c r="E23" s="1" t="s">
        <v>44</v>
      </c>
      <c r="F23" s="1" t="s">
        <v>44</v>
      </c>
      <c r="G23" s="1" t="s">
        <v>44</v>
      </c>
    </row>
    <row r="24" spans="1:7">
      <c r="A24" s="2">
        <v>46042</v>
      </c>
      <c r="B24" s="1">
        <v>8000067608</v>
      </c>
      <c r="C24" s="3" t="s">
        <v>129</v>
      </c>
      <c r="D24" s="3" t="s">
        <v>62</v>
      </c>
      <c r="E24" s="1">
        <v>102</v>
      </c>
      <c r="F24" s="1">
        <v>102</v>
      </c>
      <c r="G24" t="s">
        <v>130</v>
      </c>
    </row>
  </sheetData>
  <conditionalFormatting sqref="A1:B1">
    <cfRule type="duplicateValues" dxfId="47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5DB3E-BD07-46F2-BA2A-31054739CCA8}">
  <dimension ref="A1:G47"/>
  <sheetViews>
    <sheetView workbookViewId="0">
      <selection activeCell="C23" sqref="C23"/>
    </sheetView>
  </sheetViews>
  <sheetFormatPr defaultRowHeight="14.45"/>
  <cols>
    <col min="1" max="1" width="10.7109375" customWidth="1"/>
    <col min="2" max="2" width="11" bestFit="1" customWidth="1"/>
    <col min="3" max="3" width="43.42578125" bestFit="1" customWidth="1"/>
    <col min="4" max="4" width="52" bestFit="1" customWidth="1"/>
    <col min="5" max="5" width="20.42578125" customWidth="1"/>
    <col min="6" max="6" width="20.5703125" customWidth="1"/>
    <col min="7" max="7" width="153" bestFit="1" customWidth="1"/>
  </cols>
  <sheetData>
    <row r="1" spans="1:7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>
      <c r="A2" s="2">
        <v>46048</v>
      </c>
      <c r="B2" s="1">
        <v>8000066149</v>
      </c>
      <c r="C2" s="3" t="s">
        <v>45</v>
      </c>
      <c r="D2" s="3" t="s">
        <v>46</v>
      </c>
      <c r="E2" s="1">
        <v>70</v>
      </c>
      <c r="F2" s="1">
        <v>70</v>
      </c>
      <c r="G2" t="s">
        <v>47</v>
      </c>
    </row>
    <row r="3" spans="1:7">
      <c r="A3" s="2">
        <v>46063</v>
      </c>
      <c r="B3" s="1">
        <v>8000066422</v>
      </c>
      <c r="C3" s="3" t="s">
        <v>58</v>
      </c>
      <c r="D3" s="3" t="s">
        <v>46</v>
      </c>
      <c r="E3" s="1">
        <v>128</v>
      </c>
      <c r="F3" s="1">
        <v>128</v>
      </c>
      <c r="G3" t="s">
        <v>59</v>
      </c>
    </row>
    <row r="4" spans="1:7">
      <c r="A4" s="2">
        <v>46056</v>
      </c>
      <c r="B4" s="1">
        <v>8000066643</v>
      </c>
      <c r="C4" s="3" t="s">
        <v>66</v>
      </c>
      <c r="D4" s="3" t="s">
        <v>67</v>
      </c>
      <c r="E4" s="1" t="s">
        <v>44</v>
      </c>
      <c r="F4" s="1" t="s">
        <v>44</v>
      </c>
      <c r="G4" s="1" t="s">
        <v>44</v>
      </c>
    </row>
    <row r="5" spans="1:7">
      <c r="A5" s="2">
        <v>46062</v>
      </c>
      <c r="B5" s="1">
        <v>8000066696</v>
      </c>
      <c r="C5" s="3" t="s">
        <v>71</v>
      </c>
      <c r="D5" s="3" t="s">
        <v>46</v>
      </c>
      <c r="E5" s="1">
        <v>118</v>
      </c>
      <c r="F5" s="1">
        <v>118</v>
      </c>
      <c r="G5" t="s">
        <v>72</v>
      </c>
    </row>
    <row r="6" spans="1:7">
      <c r="A6" s="2">
        <v>46052</v>
      </c>
      <c r="B6" s="1">
        <v>8000066759</v>
      </c>
      <c r="C6" s="3" t="s">
        <v>73</v>
      </c>
      <c r="D6" s="3" t="s">
        <v>54</v>
      </c>
      <c r="E6" s="1" t="s">
        <v>44</v>
      </c>
      <c r="F6" s="1" t="s">
        <v>44</v>
      </c>
      <c r="G6" s="1" t="s">
        <v>44</v>
      </c>
    </row>
    <row r="7" spans="1:7">
      <c r="A7" s="2">
        <v>46078</v>
      </c>
      <c r="B7" s="1">
        <v>8000066776</v>
      </c>
      <c r="C7" s="3" t="s">
        <v>76</v>
      </c>
      <c r="D7" s="3" t="s">
        <v>41</v>
      </c>
      <c r="E7" s="1">
        <v>93.5</v>
      </c>
      <c r="F7" s="1">
        <v>93.5</v>
      </c>
      <c r="G7" t="s">
        <v>77</v>
      </c>
    </row>
    <row r="8" spans="1:7">
      <c r="A8" s="2">
        <v>46077</v>
      </c>
      <c r="B8" s="1">
        <v>8000066802</v>
      </c>
      <c r="C8" s="3" t="s">
        <v>81</v>
      </c>
      <c r="D8" s="3" t="s">
        <v>79</v>
      </c>
      <c r="E8" s="1" t="s">
        <v>44</v>
      </c>
      <c r="F8" s="1" t="s">
        <v>44</v>
      </c>
      <c r="G8" s="1" t="s">
        <v>44</v>
      </c>
    </row>
    <row r="9" spans="1:7">
      <c r="A9" s="2">
        <v>46064</v>
      </c>
      <c r="B9" s="1">
        <v>8000066812</v>
      </c>
      <c r="C9" s="3" t="s">
        <v>82</v>
      </c>
      <c r="D9" s="3" t="s">
        <v>62</v>
      </c>
      <c r="E9" s="1">
        <v>25.17</v>
      </c>
      <c r="F9" s="1">
        <v>35.729999999999997</v>
      </c>
      <c r="G9" t="s">
        <v>83</v>
      </c>
    </row>
    <row r="10" spans="1:7">
      <c r="A10" s="2">
        <v>46072</v>
      </c>
      <c r="B10" s="1">
        <v>8000066866</v>
      </c>
      <c r="C10" s="3" t="s">
        <v>84</v>
      </c>
      <c r="D10" s="3" t="s">
        <v>41</v>
      </c>
      <c r="E10" s="1">
        <v>224</v>
      </c>
      <c r="F10" s="1">
        <v>224</v>
      </c>
      <c r="G10" t="s">
        <v>85</v>
      </c>
    </row>
    <row r="11" spans="1:7">
      <c r="A11" s="2">
        <v>46056</v>
      </c>
      <c r="B11" s="1">
        <v>8000066882</v>
      </c>
      <c r="C11" s="3" t="s">
        <v>86</v>
      </c>
      <c r="D11" s="3" t="s">
        <v>67</v>
      </c>
      <c r="E11" s="1" t="s">
        <v>44</v>
      </c>
      <c r="F11" s="1" t="s">
        <v>44</v>
      </c>
      <c r="G11" s="1" t="s">
        <v>44</v>
      </c>
    </row>
    <row r="12" spans="1:7">
      <c r="A12" s="2">
        <v>46048</v>
      </c>
      <c r="B12" s="1">
        <v>8000066934</v>
      </c>
      <c r="C12" s="3" t="s">
        <v>89</v>
      </c>
      <c r="D12" s="3" t="s">
        <v>41</v>
      </c>
      <c r="E12" s="1" t="s">
        <v>44</v>
      </c>
      <c r="F12" s="1" t="s">
        <v>44</v>
      </c>
      <c r="G12" s="1" t="s">
        <v>44</v>
      </c>
    </row>
    <row r="13" spans="1:7">
      <c r="A13" s="2">
        <v>46064</v>
      </c>
      <c r="B13" s="1">
        <v>8000066987</v>
      </c>
      <c r="C13" s="3" t="s">
        <v>91</v>
      </c>
      <c r="D13" s="3" t="s">
        <v>41</v>
      </c>
      <c r="E13" s="1">
        <v>96</v>
      </c>
      <c r="F13" s="1">
        <v>96</v>
      </c>
      <c r="G13" t="s">
        <v>88</v>
      </c>
    </row>
    <row r="14" spans="1:7">
      <c r="A14" s="2">
        <v>46050</v>
      </c>
      <c r="B14" s="1">
        <v>8000067043</v>
      </c>
      <c r="C14" s="3" t="s">
        <v>92</v>
      </c>
      <c r="D14" s="3" t="s">
        <v>41</v>
      </c>
      <c r="E14" s="1" t="s">
        <v>44</v>
      </c>
      <c r="F14" s="1" t="s">
        <v>44</v>
      </c>
      <c r="G14" s="1" t="s">
        <v>44</v>
      </c>
    </row>
    <row r="15" spans="1:7">
      <c r="A15" s="2">
        <v>46057</v>
      </c>
      <c r="B15" s="1">
        <v>8000067287</v>
      </c>
      <c r="C15" s="3" t="s">
        <v>101</v>
      </c>
      <c r="D15" s="3" t="s">
        <v>102</v>
      </c>
      <c r="E15" s="1">
        <v>17</v>
      </c>
      <c r="F15" s="1">
        <v>17</v>
      </c>
      <c r="G15" t="s">
        <v>103</v>
      </c>
    </row>
    <row r="16" spans="1:7">
      <c r="A16" s="2">
        <v>46062</v>
      </c>
      <c r="B16" s="1">
        <v>8000067308</v>
      </c>
      <c r="C16" s="3" t="s">
        <v>104</v>
      </c>
      <c r="D16" s="3" t="s">
        <v>105</v>
      </c>
      <c r="E16" s="1">
        <v>68</v>
      </c>
      <c r="F16" s="1">
        <v>68</v>
      </c>
      <c r="G16" t="s">
        <v>106</v>
      </c>
    </row>
    <row r="17" spans="1:7">
      <c r="A17" s="2">
        <v>46062</v>
      </c>
      <c r="B17" s="1">
        <v>8000067328</v>
      </c>
      <c r="C17" s="3" t="s">
        <v>108</v>
      </c>
      <c r="D17" s="3" t="s">
        <v>79</v>
      </c>
      <c r="E17" s="1" t="s">
        <v>44</v>
      </c>
      <c r="F17" s="1" t="s">
        <v>44</v>
      </c>
      <c r="G17" s="1" t="s">
        <v>44</v>
      </c>
    </row>
    <row r="18" spans="1:7">
      <c r="A18" s="2">
        <v>46077</v>
      </c>
      <c r="B18" s="1">
        <v>8000067346</v>
      </c>
      <c r="C18" s="3" t="s">
        <v>111</v>
      </c>
      <c r="D18" s="3" t="s">
        <v>105</v>
      </c>
      <c r="E18" s="1">
        <v>62</v>
      </c>
      <c r="F18" s="1">
        <v>62</v>
      </c>
      <c r="G18" t="s">
        <v>112</v>
      </c>
    </row>
    <row r="19" spans="1:7">
      <c r="A19" s="2">
        <v>46069</v>
      </c>
      <c r="B19" s="1">
        <v>8000067563</v>
      </c>
      <c r="C19" s="3" t="s">
        <v>120</v>
      </c>
      <c r="D19" s="3" t="s">
        <v>105</v>
      </c>
      <c r="E19" s="1">
        <v>160</v>
      </c>
      <c r="F19" s="1">
        <v>160</v>
      </c>
      <c r="G19" t="s">
        <v>121</v>
      </c>
    </row>
    <row r="20" spans="1:7">
      <c r="A20" s="2">
        <v>46065</v>
      </c>
      <c r="B20" s="1">
        <v>8000067597</v>
      </c>
      <c r="C20" s="3" t="s">
        <v>127</v>
      </c>
      <c r="D20" s="3" t="s">
        <v>41</v>
      </c>
      <c r="E20" s="1">
        <v>188</v>
      </c>
      <c r="F20" s="1">
        <v>188</v>
      </c>
      <c r="G20" t="s">
        <v>128</v>
      </c>
    </row>
    <row r="21" spans="1:7">
      <c r="A21" s="2">
        <v>46064</v>
      </c>
      <c r="B21" s="1">
        <v>8000067623</v>
      </c>
      <c r="C21" s="3" t="s">
        <v>133</v>
      </c>
      <c r="D21" s="3" t="s">
        <v>41</v>
      </c>
      <c r="E21" s="1">
        <v>90</v>
      </c>
      <c r="F21" s="1">
        <v>90</v>
      </c>
      <c r="G21" t="s">
        <v>134</v>
      </c>
    </row>
    <row r="22" spans="1:7">
      <c r="A22" s="2">
        <v>46066</v>
      </c>
      <c r="B22" s="1">
        <v>8000067656</v>
      </c>
      <c r="C22" s="3" t="s">
        <v>135</v>
      </c>
      <c r="D22" s="3" t="s">
        <v>136</v>
      </c>
      <c r="E22" s="1" t="s">
        <v>44</v>
      </c>
      <c r="F22" s="1" t="s">
        <v>44</v>
      </c>
      <c r="G22" s="1" t="s">
        <v>44</v>
      </c>
    </row>
    <row r="23" spans="1:7">
      <c r="A23" s="2">
        <v>46069</v>
      </c>
      <c r="B23" s="1">
        <v>8000067657</v>
      </c>
      <c r="C23" s="3" t="s">
        <v>137</v>
      </c>
      <c r="D23" s="3" t="s">
        <v>138</v>
      </c>
      <c r="E23" s="1" t="s">
        <v>44</v>
      </c>
      <c r="F23" s="1" t="s">
        <v>44</v>
      </c>
      <c r="G23" s="1" t="s">
        <v>44</v>
      </c>
    </row>
    <row r="24" spans="1:7">
      <c r="A24" s="2">
        <v>46069</v>
      </c>
      <c r="B24" s="1">
        <v>8000067661</v>
      </c>
      <c r="C24" s="3" t="s">
        <v>139</v>
      </c>
      <c r="D24" s="3" t="s">
        <v>138</v>
      </c>
      <c r="E24" s="1" t="s">
        <v>44</v>
      </c>
      <c r="F24" s="1" t="s">
        <v>44</v>
      </c>
      <c r="G24" s="1" t="s">
        <v>44</v>
      </c>
    </row>
    <row r="25" spans="1:7">
      <c r="A25" s="2">
        <v>46069</v>
      </c>
      <c r="B25" s="1">
        <v>8000067664</v>
      </c>
      <c r="C25" s="3" t="s">
        <v>140</v>
      </c>
      <c r="D25" s="3" t="s">
        <v>138</v>
      </c>
      <c r="E25" s="1" t="s">
        <v>44</v>
      </c>
      <c r="F25" s="1" t="s">
        <v>44</v>
      </c>
      <c r="G25" s="1" t="s">
        <v>44</v>
      </c>
    </row>
    <row r="26" spans="1:7">
      <c r="A26" s="2">
        <v>46069</v>
      </c>
      <c r="B26" s="1">
        <v>8000067694</v>
      </c>
      <c r="C26" s="3" t="s">
        <v>141</v>
      </c>
      <c r="D26" s="3" t="s">
        <v>105</v>
      </c>
      <c r="E26" s="1">
        <v>152</v>
      </c>
      <c r="F26" s="1">
        <v>152</v>
      </c>
      <c r="G26" t="s">
        <v>121</v>
      </c>
    </row>
    <row r="27" spans="1:7">
      <c r="A27" s="2">
        <v>46069</v>
      </c>
      <c r="B27" s="1">
        <v>8000067712</v>
      </c>
      <c r="C27" s="3" t="s">
        <v>143</v>
      </c>
      <c r="D27" s="3" t="s">
        <v>144</v>
      </c>
      <c r="E27" s="1">
        <v>21</v>
      </c>
      <c r="F27" s="1">
        <v>32.01</v>
      </c>
      <c r="G27" t="s">
        <v>145</v>
      </c>
    </row>
    <row r="28" spans="1:7">
      <c r="A28" s="2">
        <v>46069</v>
      </c>
      <c r="B28" s="1">
        <v>8000067725</v>
      </c>
      <c r="C28" s="3" t="s">
        <v>146</v>
      </c>
      <c r="D28" s="3" t="s">
        <v>105</v>
      </c>
      <c r="E28" s="1" t="s">
        <v>44</v>
      </c>
      <c r="F28" s="1" t="s">
        <v>44</v>
      </c>
      <c r="G28" s="1" t="s">
        <v>44</v>
      </c>
    </row>
    <row r="29" spans="1:7">
      <c r="A29" s="2">
        <v>46069</v>
      </c>
      <c r="B29" s="1">
        <v>8000067727</v>
      </c>
      <c r="C29" s="3" t="s">
        <v>147</v>
      </c>
      <c r="D29" s="3" t="s">
        <v>105</v>
      </c>
      <c r="E29" s="1">
        <v>218</v>
      </c>
      <c r="F29" s="1">
        <v>218</v>
      </c>
      <c r="G29" t="s">
        <v>148</v>
      </c>
    </row>
    <row r="30" spans="1:7">
      <c r="A30" s="2">
        <v>46064</v>
      </c>
      <c r="B30" s="1">
        <v>8000067752</v>
      </c>
      <c r="C30" s="3" t="s">
        <v>151</v>
      </c>
      <c r="D30" s="3" t="s">
        <v>105</v>
      </c>
      <c r="E30" s="1">
        <v>116</v>
      </c>
      <c r="F30" s="1">
        <v>116</v>
      </c>
      <c r="G30" t="s">
        <v>152</v>
      </c>
    </row>
    <row r="31" spans="1:7">
      <c r="A31" s="2">
        <v>46052</v>
      </c>
      <c r="B31" s="1">
        <v>8000067783</v>
      </c>
      <c r="C31" s="3" t="s">
        <v>153</v>
      </c>
      <c r="D31" s="3" t="s">
        <v>154</v>
      </c>
      <c r="E31" s="1" t="s">
        <v>44</v>
      </c>
      <c r="F31" s="1" t="s">
        <v>44</v>
      </c>
      <c r="G31" s="1" t="s">
        <v>44</v>
      </c>
    </row>
    <row r="32" spans="1:7">
      <c r="A32" s="2">
        <v>46066</v>
      </c>
      <c r="B32" s="1">
        <v>8000067817</v>
      </c>
      <c r="C32" s="3" t="s">
        <v>155</v>
      </c>
      <c r="D32" s="3" t="s">
        <v>41</v>
      </c>
      <c r="E32" s="1">
        <v>92</v>
      </c>
      <c r="F32" s="1">
        <v>92</v>
      </c>
      <c r="G32" t="s">
        <v>156</v>
      </c>
    </row>
    <row r="33" spans="1:7">
      <c r="A33" s="2">
        <v>46064</v>
      </c>
      <c r="B33" s="1">
        <v>8000067850</v>
      </c>
      <c r="C33" s="3" t="s">
        <v>157</v>
      </c>
      <c r="D33" s="3" t="s">
        <v>158</v>
      </c>
      <c r="E33" s="1" t="s">
        <v>44</v>
      </c>
      <c r="F33" s="1" t="s">
        <v>44</v>
      </c>
      <c r="G33" s="1" t="s">
        <v>44</v>
      </c>
    </row>
    <row r="34" spans="1:7">
      <c r="A34" s="2">
        <v>46072</v>
      </c>
      <c r="B34" s="1">
        <v>8000067862</v>
      </c>
      <c r="C34" s="3" t="s">
        <v>159</v>
      </c>
      <c r="D34" s="3" t="s">
        <v>41</v>
      </c>
      <c r="E34" s="1">
        <v>96.57</v>
      </c>
      <c r="F34" s="1">
        <v>96.57</v>
      </c>
      <c r="G34" t="s">
        <v>160</v>
      </c>
    </row>
    <row r="35" spans="1:7">
      <c r="A35" s="2">
        <v>46066</v>
      </c>
      <c r="B35" s="1">
        <v>8000067890</v>
      </c>
      <c r="C35" s="3" t="s">
        <v>161</v>
      </c>
      <c r="D35" s="3" t="s">
        <v>162</v>
      </c>
      <c r="E35" s="1">
        <v>76</v>
      </c>
      <c r="F35" s="1">
        <v>108</v>
      </c>
      <c r="G35" t="s">
        <v>163</v>
      </c>
    </row>
    <row r="36" spans="1:7">
      <c r="A36" s="2">
        <v>46078</v>
      </c>
      <c r="B36" s="1">
        <v>8000067922</v>
      </c>
      <c r="C36" s="3" t="s">
        <v>164</v>
      </c>
      <c r="D36" s="3" t="s">
        <v>62</v>
      </c>
      <c r="E36" s="1">
        <v>62</v>
      </c>
      <c r="F36" s="1">
        <v>82.11</v>
      </c>
      <c r="G36" t="s">
        <v>165</v>
      </c>
    </row>
    <row r="37" spans="1:7">
      <c r="A37" s="2">
        <v>46064</v>
      </c>
      <c r="B37" s="1">
        <v>8000067933</v>
      </c>
      <c r="C37" s="3" t="s">
        <v>166</v>
      </c>
      <c r="D37" s="3" t="s">
        <v>105</v>
      </c>
      <c r="E37" s="1">
        <v>148</v>
      </c>
      <c r="F37" s="1">
        <v>148</v>
      </c>
      <c r="G37" t="s">
        <v>167</v>
      </c>
    </row>
    <row r="38" spans="1:7">
      <c r="A38" s="2">
        <v>46069</v>
      </c>
      <c r="B38" s="1">
        <v>8000067937</v>
      </c>
      <c r="C38" s="3" t="s">
        <v>168</v>
      </c>
      <c r="D38" s="3" t="s">
        <v>105</v>
      </c>
      <c r="E38" s="1">
        <v>42</v>
      </c>
      <c r="F38" s="1">
        <v>42</v>
      </c>
      <c r="G38" t="s">
        <v>169</v>
      </c>
    </row>
    <row r="39" spans="1:7">
      <c r="A39" s="2">
        <v>46063</v>
      </c>
      <c r="B39" s="1">
        <v>8000067958</v>
      </c>
      <c r="C39" s="3" t="s">
        <v>170</v>
      </c>
      <c r="D39" s="3" t="s">
        <v>62</v>
      </c>
      <c r="E39" s="1">
        <v>124</v>
      </c>
      <c r="F39" s="1">
        <v>174.15</v>
      </c>
      <c r="G39" t="s">
        <v>171</v>
      </c>
    </row>
    <row r="40" spans="1:7">
      <c r="A40" s="2">
        <v>46062</v>
      </c>
      <c r="B40" s="1">
        <v>8000068014</v>
      </c>
      <c r="C40" s="3" t="s">
        <v>174</v>
      </c>
      <c r="D40" s="3" t="s">
        <v>62</v>
      </c>
      <c r="E40" s="1">
        <v>104</v>
      </c>
      <c r="F40" s="1">
        <v>104</v>
      </c>
      <c r="G40" t="s">
        <v>175</v>
      </c>
    </row>
    <row r="41" spans="1:7">
      <c r="A41" s="2">
        <v>46073</v>
      </c>
      <c r="B41" s="1">
        <v>8000068032</v>
      </c>
      <c r="C41" s="3" t="s">
        <v>176</v>
      </c>
      <c r="D41" s="3" t="s">
        <v>158</v>
      </c>
      <c r="E41" s="1" t="s">
        <v>44</v>
      </c>
      <c r="F41" s="1" t="s">
        <v>44</v>
      </c>
      <c r="G41" s="1" t="s">
        <v>44</v>
      </c>
    </row>
    <row r="42" spans="1:7">
      <c r="A42" s="2">
        <v>46058</v>
      </c>
      <c r="B42" s="1">
        <v>8000068121</v>
      </c>
      <c r="C42" s="3" t="s">
        <v>177</v>
      </c>
      <c r="D42" s="3" t="s">
        <v>41</v>
      </c>
      <c r="E42" s="1">
        <v>22</v>
      </c>
      <c r="F42" s="1">
        <v>22</v>
      </c>
      <c r="G42" t="s">
        <v>178</v>
      </c>
    </row>
    <row r="43" spans="1:7">
      <c r="A43" s="2">
        <v>46063</v>
      </c>
      <c r="B43" s="1">
        <v>8000068191</v>
      </c>
      <c r="C43" s="3" t="s">
        <v>182</v>
      </c>
      <c r="D43" s="3" t="s">
        <v>183</v>
      </c>
      <c r="E43" s="1">
        <v>36</v>
      </c>
      <c r="F43" s="1">
        <v>36</v>
      </c>
      <c r="G43" t="s">
        <v>184</v>
      </c>
    </row>
    <row r="44" spans="1:7">
      <c r="A44" s="2">
        <v>46077</v>
      </c>
      <c r="B44" s="1">
        <v>8000068257</v>
      </c>
      <c r="C44" s="3" t="s">
        <v>185</v>
      </c>
      <c r="D44" s="3" t="s">
        <v>79</v>
      </c>
      <c r="E44" s="1">
        <v>43</v>
      </c>
      <c r="F44" s="1">
        <v>43</v>
      </c>
      <c r="G44" t="s">
        <v>186</v>
      </c>
    </row>
    <row r="45" spans="1:7">
      <c r="A45" s="2">
        <v>46073</v>
      </c>
      <c r="B45" s="1">
        <v>8000068264</v>
      </c>
      <c r="C45" s="3" t="s">
        <v>187</v>
      </c>
      <c r="D45" s="3" t="s">
        <v>136</v>
      </c>
      <c r="E45" s="1" t="s">
        <v>44</v>
      </c>
      <c r="F45" s="1" t="s">
        <v>44</v>
      </c>
      <c r="G45" s="1" t="s">
        <v>44</v>
      </c>
    </row>
    <row r="46" spans="1:7">
      <c r="A46" s="2">
        <v>46078</v>
      </c>
      <c r="B46" s="1">
        <v>8000068568</v>
      </c>
      <c r="C46" s="3" t="s">
        <v>195</v>
      </c>
      <c r="D46" s="3" t="s">
        <v>41</v>
      </c>
      <c r="E46" s="1" t="s">
        <v>44</v>
      </c>
      <c r="F46" s="1" t="s">
        <v>44</v>
      </c>
      <c r="G46" s="1" t="s">
        <v>44</v>
      </c>
    </row>
    <row r="47" spans="1:7">
      <c r="A47" s="2">
        <v>46072</v>
      </c>
      <c r="B47" s="1">
        <v>8000068615</v>
      </c>
      <c r="C47" s="3" t="s">
        <v>198</v>
      </c>
      <c r="D47" s="3" t="s">
        <v>62</v>
      </c>
      <c r="E47" s="1">
        <v>108</v>
      </c>
      <c r="F47" s="1">
        <v>108</v>
      </c>
      <c r="G47" t="s">
        <v>199</v>
      </c>
    </row>
  </sheetData>
  <conditionalFormatting sqref="A1:B1">
    <cfRule type="duplicateValues" dxfId="40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5CECF-4B1D-4F1F-99DB-0B885C7D1BAA}">
  <dimension ref="A1:G44"/>
  <sheetViews>
    <sheetView workbookViewId="0">
      <selection activeCell="A2" sqref="A2"/>
    </sheetView>
  </sheetViews>
  <sheetFormatPr defaultRowHeight="14.45"/>
  <cols>
    <col min="1" max="1" width="10.7109375" customWidth="1"/>
    <col min="2" max="2" width="11" bestFit="1" customWidth="1"/>
    <col min="3" max="3" width="43.42578125" bestFit="1" customWidth="1"/>
    <col min="4" max="4" width="52" bestFit="1" customWidth="1"/>
    <col min="5" max="5" width="20.42578125" customWidth="1"/>
    <col min="6" max="6" width="20.5703125" customWidth="1"/>
    <col min="7" max="7" width="72.7109375" bestFit="1" customWidth="1"/>
  </cols>
  <sheetData>
    <row r="1" spans="1:7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>
      <c r="A2" s="2">
        <v>46080</v>
      </c>
      <c r="B2" s="1">
        <v>8000066792</v>
      </c>
      <c r="C2" s="3" t="s">
        <v>78</v>
      </c>
      <c r="D2" s="3" t="s">
        <v>79</v>
      </c>
      <c r="E2" s="1" t="s">
        <v>44</v>
      </c>
      <c r="F2" s="1" t="s">
        <v>44</v>
      </c>
      <c r="G2" s="1" t="s">
        <v>44</v>
      </c>
    </row>
    <row r="3" spans="1:7">
      <c r="A3" s="2">
        <v>46094</v>
      </c>
      <c r="B3" s="1">
        <v>8000066922</v>
      </c>
      <c r="C3" s="3" t="s">
        <v>87</v>
      </c>
      <c r="D3" s="3" t="s">
        <v>41</v>
      </c>
      <c r="E3" s="1">
        <v>48</v>
      </c>
      <c r="F3" s="1">
        <v>48</v>
      </c>
      <c r="G3" t="s">
        <v>88</v>
      </c>
    </row>
    <row r="4" spans="1:7">
      <c r="A4" s="2">
        <v>46090</v>
      </c>
      <c r="B4" s="1">
        <v>8000067078</v>
      </c>
      <c r="C4" s="3" t="s">
        <v>95</v>
      </c>
      <c r="D4" s="3" t="s">
        <v>41</v>
      </c>
      <c r="E4" s="1">
        <v>160</v>
      </c>
      <c r="F4" s="1">
        <v>160</v>
      </c>
      <c r="G4" t="s">
        <v>96</v>
      </c>
    </row>
    <row r="5" spans="1:7">
      <c r="A5" s="2">
        <v>46084</v>
      </c>
      <c r="B5" s="1">
        <v>8000067486</v>
      </c>
      <c r="C5" s="3" t="s">
        <v>118</v>
      </c>
      <c r="D5" s="3" t="s">
        <v>41</v>
      </c>
      <c r="E5" s="1">
        <v>44</v>
      </c>
      <c r="F5" s="1">
        <v>44</v>
      </c>
      <c r="G5" t="s">
        <v>119</v>
      </c>
    </row>
    <row r="6" spans="1:7">
      <c r="A6" s="2">
        <v>46079</v>
      </c>
      <c r="B6" s="1">
        <v>8000067568</v>
      </c>
      <c r="C6" s="3" t="s">
        <v>122</v>
      </c>
      <c r="D6" s="3" t="s">
        <v>41</v>
      </c>
      <c r="E6" s="1">
        <v>72</v>
      </c>
      <c r="F6" s="1">
        <v>72</v>
      </c>
      <c r="G6" t="s">
        <v>123</v>
      </c>
    </row>
    <row r="7" spans="1:7">
      <c r="A7" s="2">
        <v>46086</v>
      </c>
      <c r="B7" s="1">
        <v>8000067569</v>
      </c>
      <c r="C7" s="3" t="s">
        <v>124</v>
      </c>
      <c r="D7" s="3" t="s">
        <v>41</v>
      </c>
      <c r="E7" s="1">
        <v>59</v>
      </c>
      <c r="F7" s="1">
        <v>59</v>
      </c>
      <c r="G7" t="s">
        <v>125</v>
      </c>
    </row>
    <row r="8" spans="1:7">
      <c r="A8" s="2">
        <v>46106</v>
      </c>
      <c r="B8" s="1">
        <v>8000067617</v>
      </c>
      <c r="C8" s="3" t="s">
        <v>131</v>
      </c>
      <c r="D8" s="3" t="s">
        <v>41</v>
      </c>
      <c r="E8" s="1">
        <v>78</v>
      </c>
      <c r="F8" s="1">
        <v>78</v>
      </c>
      <c r="G8" t="s">
        <v>132</v>
      </c>
    </row>
    <row r="9" spans="1:7">
      <c r="A9" s="2">
        <v>46090</v>
      </c>
      <c r="B9" s="1">
        <v>8000067707</v>
      </c>
      <c r="C9" s="3" t="s">
        <v>142</v>
      </c>
      <c r="D9" s="3" t="s">
        <v>105</v>
      </c>
      <c r="E9" s="1" t="s">
        <v>44</v>
      </c>
      <c r="F9" s="1" t="s">
        <v>44</v>
      </c>
      <c r="G9" s="1" t="s">
        <v>44</v>
      </c>
    </row>
    <row r="10" spans="1:7">
      <c r="A10" s="2">
        <v>46093</v>
      </c>
      <c r="B10" s="1">
        <v>8000067746</v>
      </c>
      <c r="C10" s="3" t="s">
        <v>149</v>
      </c>
      <c r="D10" s="3" t="s">
        <v>105</v>
      </c>
      <c r="E10" s="1">
        <v>130</v>
      </c>
      <c r="F10" s="1">
        <v>130</v>
      </c>
      <c r="G10" t="s">
        <v>150</v>
      </c>
    </row>
    <row r="11" spans="1:7">
      <c r="A11" s="2">
        <v>46097</v>
      </c>
      <c r="B11" s="1">
        <v>8000068007</v>
      </c>
      <c r="C11" s="3" t="s">
        <v>172</v>
      </c>
      <c r="D11" s="3" t="s">
        <v>162</v>
      </c>
      <c r="E11" s="1" t="s">
        <v>44</v>
      </c>
      <c r="F11" s="1" t="s">
        <v>44</v>
      </c>
      <c r="G11" s="1" t="s">
        <v>44</v>
      </c>
    </row>
    <row r="12" spans="1:7">
      <c r="A12" s="2">
        <v>46099</v>
      </c>
      <c r="B12" s="1">
        <v>8000068129</v>
      </c>
      <c r="C12" s="3" t="s">
        <v>179</v>
      </c>
      <c r="D12" s="3" t="s">
        <v>41</v>
      </c>
      <c r="E12" s="1">
        <v>78</v>
      </c>
      <c r="F12" s="1">
        <v>78</v>
      </c>
      <c r="G12" t="s">
        <v>180</v>
      </c>
    </row>
    <row r="13" spans="1:7">
      <c r="A13" s="2">
        <v>46085</v>
      </c>
      <c r="B13" s="1">
        <v>8000068167</v>
      </c>
      <c r="C13" s="3" t="s">
        <v>181</v>
      </c>
      <c r="D13" s="3" t="s">
        <v>138</v>
      </c>
      <c r="E13" s="1" t="s">
        <v>44</v>
      </c>
      <c r="F13" s="1" t="s">
        <v>44</v>
      </c>
      <c r="G13" s="1" t="s">
        <v>44</v>
      </c>
    </row>
    <row r="14" spans="1:7">
      <c r="A14" s="2">
        <v>46085</v>
      </c>
      <c r="B14" s="1">
        <v>8000068352</v>
      </c>
      <c r="C14" s="3" t="s">
        <v>188</v>
      </c>
      <c r="D14" s="3" t="s">
        <v>105</v>
      </c>
      <c r="E14" s="1">
        <v>56</v>
      </c>
      <c r="F14" s="1">
        <v>56</v>
      </c>
      <c r="G14" t="s">
        <v>121</v>
      </c>
    </row>
    <row r="15" spans="1:7">
      <c r="A15" s="2">
        <v>46090</v>
      </c>
      <c r="B15" s="1">
        <v>8000068428</v>
      </c>
      <c r="C15" s="3" t="s">
        <v>189</v>
      </c>
      <c r="D15" s="3" t="s">
        <v>41</v>
      </c>
      <c r="E15" s="1">
        <v>122</v>
      </c>
      <c r="F15" s="1">
        <v>122</v>
      </c>
      <c r="G15" t="s">
        <v>190</v>
      </c>
    </row>
    <row r="16" spans="1:7">
      <c r="A16" s="2">
        <v>46106</v>
      </c>
      <c r="B16" s="1">
        <v>8000068461</v>
      </c>
      <c r="C16" s="3" t="s">
        <v>191</v>
      </c>
      <c r="D16" s="3" t="s">
        <v>41</v>
      </c>
      <c r="E16" s="1" t="s">
        <v>44</v>
      </c>
      <c r="F16" s="1" t="s">
        <v>44</v>
      </c>
      <c r="G16" s="1" t="s">
        <v>44</v>
      </c>
    </row>
    <row r="17" spans="1:7">
      <c r="A17" s="2">
        <v>46085</v>
      </c>
      <c r="B17" s="1">
        <v>8000068556</v>
      </c>
      <c r="C17" s="3" t="s">
        <v>193</v>
      </c>
      <c r="D17" s="3" t="s">
        <v>105</v>
      </c>
      <c r="E17" s="1">
        <v>152</v>
      </c>
      <c r="F17" s="1">
        <v>152</v>
      </c>
      <c r="G17" t="s">
        <v>194</v>
      </c>
    </row>
    <row r="18" spans="1:7">
      <c r="A18" s="2">
        <v>46105</v>
      </c>
      <c r="B18" s="1">
        <v>8000068579</v>
      </c>
      <c r="C18" s="3" t="s">
        <v>196</v>
      </c>
      <c r="D18" s="3" t="s">
        <v>41</v>
      </c>
      <c r="E18" s="1">
        <v>62</v>
      </c>
      <c r="F18" s="1">
        <v>62</v>
      </c>
      <c r="G18" t="s">
        <v>197</v>
      </c>
    </row>
    <row r="19" spans="1:7">
      <c r="A19" s="2">
        <v>46090</v>
      </c>
      <c r="B19" s="1">
        <v>8000068649</v>
      </c>
      <c r="C19" s="3" t="s">
        <v>200</v>
      </c>
      <c r="D19" s="3" t="s">
        <v>41</v>
      </c>
      <c r="E19" s="1">
        <v>39</v>
      </c>
      <c r="F19" s="1">
        <v>39</v>
      </c>
      <c r="G19" t="s">
        <v>201</v>
      </c>
    </row>
    <row r="20" spans="1:7">
      <c r="A20" s="2">
        <v>46106</v>
      </c>
      <c r="B20" s="1">
        <v>8000068699</v>
      </c>
      <c r="C20" s="3" t="s">
        <v>204</v>
      </c>
      <c r="D20" s="3" t="s">
        <v>41</v>
      </c>
      <c r="E20" s="1">
        <v>140</v>
      </c>
      <c r="F20" s="1">
        <v>140</v>
      </c>
      <c r="G20" t="s">
        <v>88</v>
      </c>
    </row>
    <row r="21" spans="1:7">
      <c r="A21" s="2">
        <v>46100</v>
      </c>
      <c r="B21" s="1">
        <v>8000068719</v>
      </c>
      <c r="C21" s="3" t="s">
        <v>206</v>
      </c>
      <c r="D21" s="3" t="s">
        <v>41</v>
      </c>
      <c r="E21" s="1">
        <v>60</v>
      </c>
      <c r="F21" s="1">
        <v>60</v>
      </c>
      <c r="G21" t="s">
        <v>88</v>
      </c>
    </row>
    <row r="22" spans="1:7">
      <c r="A22" s="2">
        <v>46092</v>
      </c>
      <c r="B22" s="1">
        <v>8000068748</v>
      </c>
      <c r="C22" s="3" t="s">
        <v>207</v>
      </c>
      <c r="D22" s="3" t="s">
        <v>203</v>
      </c>
      <c r="E22" s="1" t="s">
        <v>44</v>
      </c>
      <c r="F22" s="1" t="s">
        <v>44</v>
      </c>
      <c r="G22" s="1" t="s">
        <v>44</v>
      </c>
    </row>
    <row r="23" spans="1:7">
      <c r="A23" s="2">
        <v>46092</v>
      </c>
      <c r="B23" s="1">
        <v>8000068776</v>
      </c>
      <c r="C23" s="3" t="s">
        <v>208</v>
      </c>
      <c r="D23" s="3" t="s">
        <v>203</v>
      </c>
      <c r="E23" s="1" t="s">
        <v>44</v>
      </c>
      <c r="F23" s="1" t="s">
        <v>44</v>
      </c>
      <c r="G23" s="1" t="s">
        <v>44</v>
      </c>
    </row>
    <row r="24" spans="1:7">
      <c r="A24" s="2">
        <v>46090</v>
      </c>
      <c r="B24" s="1">
        <v>8000068785</v>
      </c>
      <c r="C24" s="3" t="s">
        <v>210</v>
      </c>
      <c r="D24" s="3" t="s">
        <v>203</v>
      </c>
      <c r="E24" s="1" t="s">
        <v>44</v>
      </c>
      <c r="F24" s="1" t="s">
        <v>44</v>
      </c>
      <c r="G24" s="1" t="s">
        <v>44</v>
      </c>
    </row>
    <row r="25" spans="1:7">
      <c r="A25" s="2">
        <v>46100</v>
      </c>
      <c r="B25" s="1">
        <v>8000068797</v>
      </c>
      <c r="C25" s="3" t="s">
        <v>211</v>
      </c>
      <c r="D25" s="3" t="s">
        <v>105</v>
      </c>
      <c r="E25" s="1">
        <v>66</v>
      </c>
      <c r="F25" s="1">
        <v>66</v>
      </c>
      <c r="G25" t="s">
        <v>212</v>
      </c>
    </row>
    <row r="26" spans="1:7">
      <c r="A26" s="2">
        <v>46087</v>
      </c>
      <c r="B26" s="1">
        <v>8000068805</v>
      </c>
      <c r="C26" s="3" t="s">
        <v>213</v>
      </c>
      <c r="D26" s="3" t="s">
        <v>41</v>
      </c>
      <c r="E26" s="1">
        <v>46</v>
      </c>
      <c r="F26" s="1">
        <v>46</v>
      </c>
      <c r="G26" t="s">
        <v>214</v>
      </c>
    </row>
    <row r="27" spans="1:7">
      <c r="A27" s="2">
        <v>46101</v>
      </c>
      <c r="B27" s="1">
        <v>8000068812</v>
      </c>
      <c r="C27" s="3" t="s">
        <v>215</v>
      </c>
      <c r="D27" s="3" t="s">
        <v>54</v>
      </c>
      <c r="E27" s="1" t="s">
        <v>44</v>
      </c>
      <c r="F27" s="1" t="s">
        <v>44</v>
      </c>
      <c r="G27" s="1" t="s">
        <v>44</v>
      </c>
    </row>
    <row r="28" spans="1:7">
      <c r="A28" s="2">
        <v>46098</v>
      </c>
      <c r="B28" s="1">
        <v>8000068816</v>
      </c>
      <c r="C28" s="3" t="s">
        <v>216</v>
      </c>
      <c r="D28" s="3" t="s">
        <v>203</v>
      </c>
      <c r="E28" s="1" t="s">
        <v>44</v>
      </c>
      <c r="F28" s="1" t="s">
        <v>44</v>
      </c>
      <c r="G28" s="1" t="s">
        <v>44</v>
      </c>
    </row>
    <row r="29" spans="1:7">
      <c r="A29" s="2">
        <v>46101</v>
      </c>
      <c r="B29" s="1">
        <v>8000068818</v>
      </c>
      <c r="C29" s="3" t="s">
        <v>217</v>
      </c>
      <c r="D29" s="3" t="s">
        <v>62</v>
      </c>
      <c r="E29" s="1" t="s">
        <v>44</v>
      </c>
      <c r="F29" s="1" t="s">
        <v>44</v>
      </c>
      <c r="G29" s="1" t="s">
        <v>44</v>
      </c>
    </row>
    <row r="30" spans="1:7">
      <c r="A30" s="2">
        <v>46094</v>
      </c>
      <c r="B30" s="1">
        <v>8000068838</v>
      </c>
      <c r="C30" s="3" t="s">
        <v>218</v>
      </c>
      <c r="D30" s="3" t="s">
        <v>41</v>
      </c>
      <c r="E30" s="1">
        <v>60</v>
      </c>
      <c r="F30" s="1">
        <v>60</v>
      </c>
      <c r="G30" t="s">
        <v>123</v>
      </c>
    </row>
    <row r="31" spans="1:7">
      <c r="A31" s="2">
        <v>46090</v>
      </c>
      <c r="B31" s="1">
        <v>8000068840</v>
      </c>
      <c r="C31" s="3" t="s">
        <v>219</v>
      </c>
      <c r="D31" s="3" t="s">
        <v>54</v>
      </c>
      <c r="E31" s="1" t="s">
        <v>44</v>
      </c>
      <c r="F31" s="1" t="s">
        <v>44</v>
      </c>
      <c r="G31" s="1" t="s">
        <v>44</v>
      </c>
    </row>
    <row r="32" spans="1:7">
      <c r="A32" s="2">
        <v>46101</v>
      </c>
      <c r="B32" s="1">
        <v>8000068859</v>
      </c>
      <c r="C32" s="3" t="s">
        <v>220</v>
      </c>
      <c r="D32" s="3" t="s">
        <v>203</v>
      </c>
      <c r="E32" s="1" t="s">
        <v>44</v>
      </c>
      <c r="F32" s="1" t="s">
        <v>44</v>
      </c>
      <c r="G32" s="1" t="s">
        <v>44</v>
      </c>
    </row>
    <row r="33" spans="1:7">
      <c r="A33" s="2">
        <v>46105</v>
      </c>
      <c r="B33" s="1">
        <v>8000068891</v>
      </c>
      <c r="C33" s="3" t="s">
        <v>221</v>
      </c>
      <c r="D33" s="3" t="s">
        <v>203</v>
      </c>
      <c r="E33" s="1" t="s">
        <v>44</v>
      </c>
      <c r="F33" s="1" t="s">
        <v>44</v>
      </c>
      <c r="G33" s="1" t="s">
        <v>44</v>
      </c>
    </row>
    <row r="34" spans="1:7">
      <c r="A34" s="2">
        <v>46086</v>
      </c>
      <c r="B34" s="1">
        <v>8000068944</v>
      </c>
      <c r="C34" s="3" t="s">
        <v>222</v>
      </c>
      <c r="D34" s="3" t="s">
        <v>41</v>
      </c>
      <c r="E34" s="1">
        <v>165</v>
      </c>
      <c r="F34" s="1">
        <v>165</v>
      </c>
      <c r="G34" t="s">
        <v>123</v>
      </c>
    </row>
    <row r="35" spans="1:7">
      <c r="A35" s="2">
        <v>46083</v>
      </c>
      <c r="B35" s="1">
        <v>8000068951</v>
      </c>
      <c r="C35" s="3" t="s">
        <v>223</v>
      </c>
      <c r="D35" s="3" t="s">
        <v>41</v>
      </c>
      <c r="E35" s="1">
        <v>52</v>
      </c>
      <c r="F35" s="1">
        <v>52</v>
      </c>
      <c r="G35" t="s">
        <v>201</v>
      </c>
    </row>
    <row r="36" spans="1:7">
      <c r="A36" s="2">
        <v>46093</v>
      </c>
      <c r="B36" s="1">
        <v>8000069046</v>
      </c>
      <c r="C36" s="3" t="s">
        <v>224</v>
      </c>
      <c r="D36" s="3" t="s">
        <v>62</v>
      </c>
      <c r="E36" s="1">
        <v>100</v>
      </c>
      <c r="F36" s="1">
        <v>100</v>
      </c>
      <c r="G36" t="s">
        <v>175</v>
      </c>
    </row>
    <row r="37" spans="1:7">
      <c r="A37" s="2">
        <v>46097</v>
      </c>
      <c r="B37" s="1">
        <v>8000069105</v>
      </c>
      <c r="C37" s="3" t="s">
        <v>228</v>
      </c>
      <c r="D37" s="3" t="s">
        <v>229</v>
      </c>
      <c r="E37" s="1">
        <v>156</v>
      </c>
      <c r="F37" s="1">
        <v>215.22</v>
      </c>
      <c r="G37" t="s">
        <v>230</v>
      </c>
    </row>
    <row r="38" spans="1:7">
      <c r="A38" s="2">
        <v>46093</v>
      </c>
      <c r="B38" s="1">
        <v>8000069193</v>
      </c>
      <c r="C38" s="3" t="s">
        <v>231</v>
      </c>
      <c r="D38" s="3" t="s">
        <v>41</v>
      </c>
      <c r="E38" s="1">
        <v>100</v>
      </c>
      <c r="F38" s="1">
        <v>100</v>
      </c>
      <c r="G38" t="s">
        <v>232</v>
      </c>
    </row>
    <row r="39" spans="1:7">
      <c r="A39" s="2">
        <v>46105</v>
      </c>
      <c r="B39" s="1">
        <v>8000069320</v>
      </c>
      <c r="C39" s="3" t="s">
        <v>235</v>
      </c>
      <c r="D39" s="3" t="s">
        <v>54</v>
      </c>
      <c r="E39" s="1" t="s">
        <v>44</v>
      </c>
      <c r="F39" s="1" t="s">
        <v>44</v>
      </c>
      <c r="G39" s="1" t="s">
        <v>44</v>
      </c>
    </row>
    <row r="40" spans="1:7">
      <c r="A40" s="2">
        <v>46097</v>
      </c>
      <c r="B40" s="1">
        <v>8000069321</v>
      </c>
      <c r="C40" s="3" t="s">
        <v>236</v>
      </c>
      <c r="D40" s="3" t="s">
        <v>62</v>
      </c>
      <c r="E40" s="1" t="s">
        <v>44</v>
      </c>
      <c r="F40" s="1" t="s">
        <v>44</v>
      </c>
      <c r="G40" s="1" t="s">
        <v>44</v>
      </c>
    </row>
    <row r="41" spans="1:7">
      <c r="A41" s="2">
        <v>46097</v>
      </c>
      <c r="B41" s="1">
        <v>8000069337</v>
      </c>
      <c r="C41" s="3" t="s">
        <v>237</v>
      </c>
      <c r="D41" s="3" t="s">
        <v>79</v>
      </c>
      <c r="E41" s="1">
        <v>52</v>
      </c>
      <c r="F41" s="1">
        <v>71.260000000000005</v>
      </c>
      <c r="G41" t="s">
        <v>238</v>
      </c>
    </row>
    <row r="42" spans="1:7">
      <c r="A42" s="2">
        <v>46098</v>
      </c>
      <c r="B42" s="1">
        <v>8000069468</v>
      </c>
      <c r="C42" s="3" t="s">
        <v>246</v>
      </c>
      <c r="D42" s="3" t="s">
        <v>41</v>
      </c>
      <c r="E42" s="1">
        <v>36</v>
      </c>
      <c r="F42" s="1">
        <v>36</v>
      </c>
      <c r="G42" t="s">
        <v>247</v>
      </c>
    </row>
    <row r="43" spans="1:7">
      <c r="A43" s="2">
        <v>46097</v>
      </c>
      <c r="B43" s="1">
        <v>8000069477</v>
      </c>
      <c r="C43" s="3" t="s">
        <v>248</v>
      </c>
      <c r="D43" s="3" t="s">
        <v>203</v>
      </c>
      <c r="E43" s="1" t="s">
        <v>44</v>
      </c>
      <c r="F43" s="1" t="s">
        <v>44</v>
      </c>
      <c r="G43" s="1" t="s">
        <v>44</v>
      </c>
    </row>
    <row r="44" spans="1:7">
      <c r="A44" s="2">
        <v>46101</v>
      </c>
      <c r="B44" s="1">
        <v>8000069581</v>
      </c>
      <c r="C44" s="3" t="s">
        <v>251</v>
      </c>
      <c r="D44" s="3" t="s">
        <v>75</v>
      </c>
      <c r="E44" s="1">
        <v>74</v>
      </c>
      <c r="F44" s="1">
        <v>94.04</v>
      </c>
      <c r="G44" t="s">
        <v>252</v>
      </c>
    </row>
  </sheetData>
  <conditionalFormatting sqref="A1:B1">
    <cfRule type="duplicateValues" dxfId="33" priority="1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D1F66-E445-4F28-AB77-1E869D60E8E5}">
  <dimension ref="A1:G57"/>
  <sheetViews>
    <sheetView topLeftCell="D10" workbookViewId="0">
      <selection activeCell="E2" sqref="E2:E57"/>
    </sheetView>
  </sheetViews>
  <sheetFormatPr defaultRowHeight="14.45"/>
  <cols>
    <col min="1" max="1" width="10.7109375" customWidth="1"/>
    <col min="2" max="2" width="11" bestFit="1" customWidth="1"/>
    <col min="3" max="3" width="43.42578125" bestFit="1" customWidth="1"/>
    <col min="4" max="4" width="52" bestFit="1" customWidth="1"/>
    <col min="5" max="5" width="20.42578125" customWidth="1"/>
    <col min="6" max="6" width="20.5703125" customWidth="1"/>
    <col min="7" max="7" width="72.140625" bestFit="1" customWidth="1"/>
  </cols>
  <sheetData>
    <row r="1" spans="1:7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>
      <c r="A2" s="2">
        <v>46108</v>
      </c>
      <c r="B2" s="1">
        <v>8000068010</v>
      </c>
      <c r="C2" s="3" t="s">
        <v>173</v>
      </c>
      <c r="D2" s="3" t="s">
        <v>62</v>
      </c>
      <c r="E2" s="1" t="s">
        <v>44</v>
      </c>
      <c r="F2" s="1" t="s">
        <v>44</v>
      </c>
      <c r="G2" s="1" t="s">
        <v>44</v>
      </c>
    </row>
    <row r="3" spans="1:7">
      <c r="A3" s="2">
        <v>46122</v>
      </c>
      <c r="B3" s="1">
        <v>8000068487</v>
      </c>
      <c r="C3" s="3" t="s">
        <v>192</v>
      </c>
      <c r="D3" s="3" t="s">
        <v>105</v>
      </c>
      <c r="E3" s="1">
        <v>100</v>
      </c>
      <c r="F3" s="1">
        <v>100</v>
      </c>
      <c r="G3" t="s">
        <v>148</v>
      </c>
    </row>
    <row r="4" spans="1:7">
      <c r="A4" s="2">
        <v>46111</v>
      </c>
      <c r="B4" s="1">
        <v>8000068691</v>
      </c>
      <c r="C4" s="3" t="s">
        <v>202</v>
      </c>
      <c r="D4" s="3" t="s">
        <v>203</v>
      </c>
      <c r="E4" s="1" t="s">
        <v>44</v>
      </c>
      <c r="F4" s="1" t="s">
        <v>44</v>
      </c>
      <c r="G4" s="1" t="s">
        <v>44</v>
      </c>
    </row>
    <row r="5" spans="1:7">
      <c r="A5" s="2">
        <v>46125</v>
      </c>
      <c r="B5" s="1">
        <v>8000068715</v>
      </c>
      <c r="C5" s="3" t="s">
        <v>205</v>
      </c>
      <c r="D5" s="3" t="s">
        <v>41</v>
      </c>
      <c r="E5" s="1" t="s">
        <v>44</v>
      </c>
      <c r="F5" s="1" t="s">
        <v>44</v>
      </c>
      <c r="G5" s="1" t="s">
        <v>44</v>
      </c>
    </row>
    <row r="6" spans="1:7">
      <c r="A6" s="2">
        <v>46136</v>
      </c>
      <c r="B6" s="1">
        <v>8000068780</v>
      </c>
      <c r="C6" s="3" t="s">
        <v>209</v>
      </c>
      <c r="D6" s="3" t="s">
        <v>79</v>
      </c>
      <c r="E6" s="1" t="s">
        <v>44</v>
      </c>
      <c r="F6" s="1" t="s">
        <v>44</v>
      </c>
      <c r="G6" s="1" t="s">
        <v>44</v>
      </c>
    </row>
    <row r="7" spans="1:7">
      <c r="A7" s="2">
        <v>46107</v>
      </c>
      <c r="B7" s="1">
        <v>8000069095</v>
      </c>
      <c r="C7" s="3" t="s">
        <v>226</v>
      </c>
      <c r="D7" s="3" t="s">
        <v>105</v>
      </c>
      <c r="E7" s="1">
        <v>78</v>
      </c>
      <c r="F7" s="1">
        <v>78</v>
      </c>
      <c r="G7" t="s">
        <v>227</v>
      </c>
    </row>
    <row r="8" spans="1:7">
      <c r="A8" s="2">
        <v>46108</v>
      </c>
      <c r="B8" s="1">
        <v>8000069256</v>
      </c>
      <c r="C8" s="3" t="s">
        <v>233</v>
      </c>
      <c r="D8" s="3" t="s">
        <v>105</v>
      </c>
      <c r="E8" s="1">
        <v>136</v>
      </c>
      <c r="F8" s="1">
        <v>136</v>
      </c>
      <c r="G8" t="s">
        <v>121</v>
      </c>
    </row>
    <row r="9" spans="1:7">
      <c r="A9" s="2">
        <v>46136</v>
      </c>
      <c r="B9" s="1">
        <v>8000069393</v>
      </c>
      <c r="C9" s="3" t="s">
        <v>239</v>
      </c>
      <c r="D9" s="3" t="s">
        <v>105</v>
      </c>
      <c r="E9" s="1" t="s">
        <v>44</v>
      </c>
      <c r="F9" s="1" t="s">
        <v>44</v>
      </c>
      <c r="G9" s="1" t="s">
        <v>44</v>
      </c>
    </row>
    <row r="10" spans="1:7">
      <c r="A10" s="2">
        <v>46111</v>
      </c>
      <c r="B10" s="1">
        <v>8000069405</v>
      </c>
      <c r="C10" s="3" t="s">
        <v>240</v>
      </c>
      <c r="D10" s="3" t="s">
        <v>203</v>
      </c>
      <c r="E10" s="1" t="s">
        <v>44</v>
      </c>
      <c r="F10" s="1" t="s">
        <v>44</v>
      </c>
      <c r="G10" s="1" t="s">
        <v>44</v>
      </c>
    </row>
    <row r="11" spans="1:7">
      <c r="A11" s="2">
        <v>46108</v>
      </c>
      <c r="B11" s="1">
        <v>8000069449</v>
      </c>
      <c r="C11" s="3" t="s">
        <v>242</v>
      </c>
      <c r="D11" s="3" t="s">
        <v>62</v>
      </c>
      <c r="E11" s="1" t="s">
        <v>44</v>
      </c>
      <c r="F11" s="1" t="s">
        <v>44</v>
      </c>
      <c r="G11" s="1" t="s">
        <v>44</v>
      </c>
    </row>
    <row r="12" spans="1:7">
      <c r="A12" s="2">
        <v>46118</v>
      </c>
      <c r="B12" s="1">
        <v>8000069458</v>
      </c>
      <c r="C12" s="3" t="s">
        <v>243</v>
      </c>
      <c r="D12" s="3" t="s">
        <v>41</v>
      </c>
      <c r="E12" s="1" t="s">
        <v>44</v>
      </c>
      <c r="F12" s="1" t="s">
        <v>44</v>
      </c>
      <c r="G12" s="1" t="s">
        <v>44</v>
      </c>
    </row>
    <row r="13" spans="1:7">
      <c r="A13" s="2">
        <v>46129</v>
      </c>
      <c r="B13" s="1">
        <v>8000069459</v>
      </c>
      <c r="C13" s="3" t="s">
        <v>244</v>
      </c>
      <c r="D13" s="3" t="s">
        <v>136</v>
      </c>
      <c r="E13" s="1">
        <v>53.4</v>
      </c>
      <c r="F13" s="1">
        <v>33.4</v>
      </c>
      <c r="G13" t="s">
        <v>245</v>
      </c>
    </row>
    <row r="14" spans="1:7">
      <c r="A14" s="2">
        <v>46126</v>
      </c>
      <c r="B14" s="1">
        <v>8000069512</v>
      </c>
      <c r="C14" s="3" t="s">
        <v>249</v>
      </c>
      <c r="D14" s="3" t="s">
        <v>105</v>
      </c>
      <c r="E14" s="1" t="s">
        <v>44</v>
      </c>
      <c r="F14" s="1" t="s">
        <v>44</v>
      </c>
      <c r="G14" s="1" t="s">
        <v>44</v>
      </c>
    </row>
    <row r="15" spans="1:7">
      <c r="A15" s="2">
        <v>46114</v>
      </c>
      <c r="B15" s="1">
        <v>8000069518</v>
      </c>
      <c r="C15" s="3" t="s">
        <v>250</v>
      </c>
      <c r="D15" s="3" t="s">
        <v>105</v>
      </c>
      <c r="E15" s="1" t="s">
        <v>44</v>
      </c>
      <c r="F15" s="1" t="s">
        <v>44</v>
      </c>
      <c r="G15" s="1" t="s">
        <v>44</v>
      </c>
    </row>
    <row r="16" spans="1:7">
      <c r="A16" s="2">
        <v>46113</v>
      </c>
      <c r="B16" s="1">
        <v>8000069611</v>
      </c>
      <c r="C16" s="3" t="s">
        <v>255</v>
      </c>
      <c r="D16" s="3" t="s">
        <v>75</v>
      </c>
      <c r="E16" s="1" t="s">
        <v>44</v>
      </c>
      <c r="F16" s="1" t="s">
        <v>44</v>
      </c>
      <c r="G16" s="1" t="s">
        <v>44</v>
      </c>
    </row>
    <row r="17" spans="1:7">
      <c r="A17" s="2">
        <v>46122</v>
      </c>
      <c r="B17" s="1">
        <v>8000069641</v>
      </c>
      <c r="C17" s="3" t="s">
        <v>256</v>
      </c>
      <c r="D17" s="3" t="s">
        <v>105</v>
      </c>
      <c r="E17" s="1">
        <v>182</v>
      </c>
      <c r="F17" s="1">
        <v>182</v>
      </c>
      <c r="G17" t="s">
        <v>257</v>
      </c>
    </row>
    <row r="18" spans="1:7">
      <c r="A18" s="2">
        <v>46121</v>
      </c>
      <c r="B18" s="1">
        <v>8000069792</v>
      </c>
      <c r="C18" s="3" t="s">
        <v>261</v>
      </c>
      <c r="D18" s="3" t="s">
        <v>203</v>
      </c>
      <c r="E18" s="1" t="s">
        <v>44</v>
      </c>
      <c r="F18" s="1" t="s">
        <v>44</v>
      </c>
      <c r="G18" s="1" t="s">
        <v>44</v>
      </c>
    </row>
    <row r="19" spans="1:7">
      <c r="A19" s="2">
        <v>46111</v>
      </c>
      <c r="B19" s="1">
        <v>8000069887</v>
      </c>
      <c r="C19" s="3" t="s">
        <v>263</v>
      </c>
      <c r="D19" s="3" t="s">
        <v>203</v>
      </c>
      <c r="E19" s="1" t="s">
        <v>44</v>
      </c>
      <c r="F19" s="1" t="s">
        <v>44</v>
      </c>
      <c r="G19" s="1" t="s">
        <v>44</v>
      </c>
    </row>
    <row r="20" spans="1:7">
      <c r="A20" s="2">
        <v>46111</v>
      </c>
      <c r="B20" s="1">
        <v>8000069983</v>
      </c>
      <c r="C20" s="3" t="s">
        <v>266</v>
      </c>
      <c r="D20" s="3" t="s">
        <v>203</v>
      </c>
      <c r="E20" s="1" t="s">
        <v>44</v>
      </c>
      <c r="F20" s="1" t="s">
        <v>44</v>
      </c>
      <c r="G20" s="1" t="s">
        <v>44</v>
      </c>
    </row>
    <row r="21" spans="1:7">
      <c r="A21" s="2">
        <v>46136</v>
      </c>
      <c r="B21" s="1">
        <v>8000069984</v>
      </c>
      <c r="C21" s="3" t="s">
        <v>267</v>
      </c>
      <c r="D21" s="3" t="s">
        <v>41</v>
      </c>
      <c r="E21" s="1" t="s">
        <v>44</v>
      </c>
      <c r="F21" s="1" t="s">
        <v>44</v>
      </c>
      <c r="G21" s="1" t="s">
        <v>44</v>
      </c>
    </row>
    <row r="22" spans="1:7">
      <c r="A22" s="2">
        <v>46111</v>
      </c>
      <c r="B22" s="1">
        <v>8000070038</v>
      </c>
      <c r="C22" s="3" t="s">
        <v>269</v>
      </c>
      <c r="D22" s="3" t="s">
        <v>41</v>
      </c>
      <c r="E22" s="1">
        <v>96</v>
      </c>
      <c r="F22" s="1">
        <v>96</v>
      </c>
      <c r="G22" t="s">
        <v>190</v>
      </c>
    </row>
    <row r="23" spans="1:7">
      <c r="A23" s="2">
        <v>46122</v>
      </c>
      <c r="B23" s="1">
        <v>8000070167</v>
      </c>
      <c r="C23" s="3" t="s">
        <v>275</v>
      </c>
      <c r="D23" s="3" t="s">
        <v>41</v>
      </c>
      <c r="E23" s="1">
        <v>64</v>
      </c>
      <c r="F23" s="1">
        <v>64</v>
      </c>
      <c r="G23" t="s">
        <v>276</v>
      </c>
    </row>
    <row r="24" spans="1:7">
      <c r="A24" s="2">
        <v>46128</v>
      </c>
      <c r="B24" s="1">
        <v>8000070176</v>
      </c>
      <c r="C24" s="3" t="s">
        <v>277</v>
      </c>
      <c r="D24" s="3" t="s">
        <v>62</v>
      </c>
      <c r="E24" s="1" t="s">
        <v>44</v>
      </c>
      <c r="F24" s="1" t="s">
        <v>44</v>
      </c>
      <c r="G24" s="1" t="s">
        <v>44</v>
      </c>
    </row>
    <row r="25" spans="1:7">
      <c r="A25" s="2">
        <v>46114</v>
      </c>
      <c r="B25" s="1">
        <v>8000070179</v>
      </c>
      <c r="C25" s="3" t="s">
        <v>279</v>
      </c>
      <c r="D25" s="3" t="s">
        <v>41</v>
      </c>
      <c r="E25" s="1" t="s">
        <v>44</v>
      </c>
      <c r="F25" s="1" t="s">
        <v>44</v>
      </c>
      <c r="G25" s="1" t="s">
        <v>44</v>
      </c>
    </row>
    <row r="26" spans="1:7">
      <c r="A26" s="2">
        <v>46114</v>
      </c>
      <c r="B26" s="1">
        <v>8000070180</v>
      </c>
      <c r="C26" s="3" t="s">
        <v>280</v>
      </c>
      <c r="D26" s="3" t="s">
        <v>79</v>
      </c>
      <c r="E26" s="1" t="s">
        <v>44</v>
      </c>
      <c r="F26" s="1" t="s">
        <v>44</v>
      </c>
      <c r="G26" s="1" t="s">
        <v>44</v>
      </c>
    </row>
    <row r="27" spans="1:7">
      <c r="A27" s="2">
        <v>46122</v>
      </c>
      <c r="B27" s="1">
        <v>8000070193</v>
      </c>
      <c r="C27" s="3" t="s">
        <v>281</v>
      </c>
      <c r="D27" s="3" t="s">
        <v>105</v>
      </c>
      <c r="E27" s="1">
        <v>48</v>
      </c>
      <c r="F27" s="1">
        <v>48</v>
      </c>
      <c r="G27" t="s">
        <v>282</v>
      </c>
    </row>
    <row r="28" spans="1:7">
      <c r="A28" s="2">
        <v>46129</v>
      </c>
      <c r="B28" s="1">
        <v>8000070223</v>
      </c>
      <c r="C28" s="3" t="s">
        <v>283</v>
      </c>
      <c r="D28" s="3" t="s">
        <v>102</v>
      </c>
      <c r="E28" s="1" t="s">
        <v>44</v>
      </c>
      <c r="F28" s="1" t="s">
        <v>44</v>
      </c>
      <c r="G28" s="1" t="s">
        <v>44</v>
      </c>
    </row>
    <row r="29" spans="1:7">
      <c r="A29" s="2">
        <v>46125</v>
      </c>
      <c r="B29" s="1">
        <v>8000070263</v>
      </c>
      <c r="C29" s="3" t="s">
        <v>285</v>
      </c>
      <c r="D29" s="3" t="s">
        <v>41</v>
      </c>
      <c r="E29" s="1" t="s">
        <v>44</v>
      </c>
      <c r="F29" s="1" t="s">
        <v>44</v>
      </c>
      <c r="G29" s="1" t="s">
        <v>44</v>
      </c>
    </row>
    <row r="30" spans="1:7">
      <c r="A30" s="2">
        <v>46126</v>
      </c>
      <c r="B30" s="1">
        <v>8000070355</v>
      </c>
      <c r="C30" s="3" t="s">
        <v>286</v>
      </c>
      <c r="D30" s="3" t="s">
        <v>136</v>
      </c>
      <c r="E30" s="1" t="s">
        <v>44</v>
      </c>
      <c r="F30" s="1" t="s">
        <v>44</v>
      </c>
      <c r="G30" s="1" t="s">
        <v>44</v>
      </c>
    </row>
    <row r="31" spans="1:7">
      <c r="A31" s="2">
        <v>46134</v>
      </c>
      <c r="B31" s="1">
        <v>8000070370</v>
      </c>
      <c r="C31" s="3" t="s">
        <v>287</v>
      </c>
      <c r="D31" s="3" t="s">
        <v>272</v>
      </c>
      <c r="E31" s="1">
        <v>44</v>
      </c>
      <c r="F31" s="1">
        <v>67.98</v>
      </c>
      <c r="G31" t="s">
        <v>288</v>
      </c>
    </row>
    <row r="32" spans="1:7">
      <c r="A32" s="2">
        <v>46121</v>
      </c>
      <c r="B32" s="1">
        <v>8000070376</v>
      </c>
      <c r="C32" s="3" t="s">
        <v>289</v>
      </c>
      <c r="D32" s="3" t="s">
        <v>203</v>
      </c>
      <c r="E32" s="1" t="s">
        <v>44</v>
      </c>
      <c r="F32" s="1" t="s">
        <v>44</v>
      </c>
      <c r="G32" s="1" t="s">
        <v>44</v>
      </c>
    </row>
    <row r="33" spans="1:7">
      <c r="A33" s="2">
        <v>46127</v>
      </c>
      <c r="B33" s="1">
        <v>8000070412</v>
      </c>
      <c r="C33" s="3" t="s">
        <v>290</v>
      </c>
      <c r="D33" s="3" t="s">
        <v>265</v>
      </c>
      <c r="E33" s="1">
        <v>42</v>
      </c>
      <c r="F33" s="1">
        <v>61.38</v>
      </c>
      <c r="G33" t="s">
        <v>291</v>
      </c>
    </row>
    <row r="34" spans="1:7">
      <c r="A34" s="2">
        <v>46111</v>
      </c>
      <c r="B34" s="1">
        <v>8000070425</v>
      </c>
      <c r="C34" s="3" t="s">
        <v>292</v>
      </c>
      <c r="D34" s="3" t="s">
        <v>41</v>
      </c>
      <c r="E34" s="1" t="s">
        <v>44</v>
      </c>
      <c r="F34" s="1" t="s">
        <v>44</v>
      </c>
      <c r="G34" s="1" t="s">
        <v>44</v>
      </c>
    </row>
    <row r="35" spans="1:7">
      <c r="A35" s="2">
        <v>46126</v>
      </c>
      <c r="B35" s="1">
        <v>8000070462</v>
      </c>
      <c r="C35" s="3" t="s">
        <v>293</v>
      </c>
      <c r="D35" s="3" t="s">
        <v>54</v>
      </c>
      <c r="E35" s="1" t="s">
        <v>44</v>
      </c>
      <c r="F35" s="1" t="s">
        <v>44</v>
      </c>
      <c r="G35" s="1" t="s">
        <v>44</v>
      </c>
    </row>
    <row r="36" spans="1:7">
      <c r="A36" s="2">
        <v>46129</v>
      </c>
      <c r="B36" s="1">
        <v>8000070464</v>
      </c>
      <c r="C36" s="3" t="s">
        <v>294</v>
      </c>
      <c r="D36" s="3" t="s">
        <v>203</v>
      </c>
      <c r="E36" s="1" t="s">
        <v>44</v>
      </c>
      <c r="F36" s="1" t="s">
        <v>44</v>
      </c>
      <c r="G36" s="1" t="s">
        <v>44</v>
      </c>
    </row>
    <row r="37" spans="1:7">
      <c r="A37" s="2">
        <v>46125</v>
      </c>
      <c r="B37" s="1">
        <v>8000070493</v>
      </c>
      <c r="C37" s="3" t="s">
        <v>295</v>
      </c>
      <c r="D37" s="3" t="s">
        <v>158</v>
      </c>
      <c r="E37" s="1" t="s">
        <v>44</v>
      </c>
      <c r="F37" s="1" t="s">
        <v>44</v>
      </c>
      <c r="G37" s="1" t="s">
        <v>44</v>
      </c>
    </row>
    <row r="38" spans="1:7">
      <c r="A38" s="2">
        <v>46136</v>
      </c>
      <c r="B38" s="1">
        <v>8000070512</v>
      </c>
      <c r="C38" s="3" t="s">
        <v>296</v>
      </c>
      <c r="D38" s="3" t="s">
        <v>102</v>
      </c>
      <c r="E38" s="1">
        <v>54</v>
      </c>
      <c r="F38" s="1">
        <v>54</v>
      </c>
      <c r="G38" t="s">
        <v>297</v>
      </c>
    </row>
    <row r="39" spans="1:7">
      <c r="A39" s="2">
        <v>46127</v>
      </c>
      <c r="B39" s="1">
        <v>8000070559</v>
      </c>
      <c r="C39" s="3" t="s">
        <v>298</v>
      </c>
      <c r="D39" s="3" t="s">
        <v>75</v>
      </c>
      <c r="E39" s="1" t="s">
        <v>44</v>
      </c>
      <c r="F39" s="1" t="s">
        <v>44</v>
      </c>
      <c r="G39" s="1" t="s">
        <v>44</v>
      </c>
    </row>
    <row r="40" spans="1:7">
      <c r="A40" s="2">
        <v>46128</v>
      </c>
      <c r="B40" s="1">
        <v>8000070560</v>
      </c>
      <c r="C40" s="3" t="s">
        <v>299</v>
      </c>
      <c r="D40" s="3" t="s">
        <v>203</v>
      </c>
      <c r="E40" s="1" t="s">
        <v>44</v>
      </c>
      <c r="F40" s="1" t="s">
        <v>44</v>
      </c>
      <c r="G40" s="1" t="s">
        <v>44</v>
      </c>
    </row>
    <row r="41" spans="1:7">
      <c r="A41" s="2">
        <v>46118</v>
      </c>
      <c r="B41" s="1">
        <v>8000070570</v>
      </c>
      <c r="C41" s="3" t="s">
        <v>300</v>
      </c>
      <c r="D41" s="3" t="s">
        <v>41</v>
      </c>
      <c r="E41" s="1">
        <v>48</v>
      </c>
      <c r="F41" s="1">
        <v>48</v>
      </c>
      <c r="G41" t="s">
        <v>301</v>
      </c>
    </row>
    <row r="42" spans="1:7">
      <c r="A42" s="2">
        <v>46128</v>
      </c>
      <c r="B42" s="1">
        <v>8000070578</v>
      </c>
      <c r="C42" s="3" t="s">
        <v>302</v>
      </c>
      <c r="D42" s="3" t="s">
        <v>41</v>
      </c>
      <c r="E42" s="1">
        <v>32</v>
      </c>
      <c r="F42" s="1">
        <v>32</v>
      </c>
      <c r="G42" t="s">
        <v>303</v>
      </c>
    </row>
    <row r="43" spans="1:7">
      <c r="A43" s="2">
        <v>46134</v>
      </c>
      <c r="B43" s="1">
        <v>8000070598</v>
      </c>
      <c r="C43" s="3" t="s">
        <v>304</v>
      </c>
      <c r="D43" s="3" t="s">
        <v>75</v>
      </c>
      <c r="E43" s="1" t="s">
        <v>44</v>
      </c>
      <c r="F43" s="1" t="s">
        <v>44</v>
      </c>
      <c r="G43" s="1" t="s">
        <v>44</v>
      </c>
    </row>
    <row r="44" spans="1:7">
      <c r="A44" s="2">
        <v>46129</v>
      </c>
      <c r="B44" s="1">
        <v>8000070599</v>
      </c>
      <c r="C44" s="3" t="s">
        <v>305</v>
      </c>
      <c r="D44" s="3" t="s">
        <v>265</v>
      </c>
      <c r="E44" s="1">
        <v>64</v>
      </c>
      <c r="F44" s="1">
        <v>64</v>
      </c>
      <c r="G44" t="s">
        <v>306</v>
      </c>
    </row>
    <row r="45" spans="1:7">
      <c r="A45" s="2">
        <v>46135</v>
      </c>
      <c r="B45" s="1">
        <v>8000070611</v>
      </c>
      <c r="C45" s="3" t="s">
        <v>307</v>
      </c>
      <c r="D45" s="3" t="s">
        <v>41</v>
      </c>
      <c r="E45" s="1">
        <v>62</v>
      </c>
      <c r="F45" s="1">
        <v>62</v>
      </c>
      <c r="G45" t="s">
        <v>247</v>
      </c>
    </row>
    <row r="46" spans="1:7">
      <c r="A46" s="2">
        <v>46128</v>
      </c>
      <c r="B46" s="1">
        <v>8000070747</v>
      </c>
      <c r="C46" s="3" t="s">
        <v>311</v>
      </c>
      <c r="D46" s="3" t="s">
        <v>41</v>
      </c>
      <c r="E46" s="1">
        <v>30</v>
      </c>
      <c r="F46" s="1">
        <v>30</v>
      </c>
      <c r="G46" t="s">
        <v>180</v>
      </c>
    </row>
    <row r="47" spans="1:7">
      <c r="A47" s="2">
        <v>46121</v>
      </c>
      <c r="B47" s="1">
        <v>8000070757</v>
      </c>
      <c r="C47" s="3" t="s">
        <v>312</v>
      </c>
      <c r="D47" s="3" t="s">
        <v>79</v>
      </c>
      <c r="E47" s="1">
        <v>50.54</v>
      </c>
      <c r="F47" s="1">
        <v>50.54</v>
      </c>
      <c r="G47" t="s">
        <v>313</v>
      </c>
    </row>
    <row r="48" spans="1:7">
      <c r="A48" s="2">
        <v>46129</v>
      </c>
      <c r="B48" s="1">
        <v>8000070805</v>
      </c>
      <c r="C48" s="3" t="s">
        <v>314</v>
      </c>
      <c r="D48" s="3" t="s">
        <v>203</v>
      </c>
      <c r="E48" s="1" t="s">
        <v>44</v>
      </c>
      <c r="F48" s="1" t="s">
        <v>44</v>
      </c>
      <c r="G48" s="1" t="s">
        <v>44</v>
      </c>
    </row>
    <row r="49" spans="1:7">
      <c r="A49" s="2">
        <v>46129</v>
      </c>
      <c r="B49" s="1">
        <v>8000070927</v>
      </c>
      <c r="C49" s="3" t="s">
        <v>318</v>
      </c>
      <c r="D49" s="3" t="s">
        <v>105</v>
      </c>
      <c r="E49" s="1" t="s">
        <v>44</v>
      </c>
      <c r="F49" s="1" t="s">
        <v>44</v>
      </c>
      <c r="G49" s="1" t="s">
        <v>44</v>
      </c>
    </row>
    <row r="50" spans="1:7">
      <c r="A50" s="2">
        <v>46136</v>
      </c>
      <c r="B50" s="1">
        <v>8000070937</v>
      </c>
      <c r="C50" s="3" t="s">
        <v>319</v>
      </c>
      <c r="D50" s="3" t="s">
        <v>136</v>
      </c>
      <c r="E50" s="1" t="s">
        <v>44</v>
      </c>
      <c r="F50" s="1" t="s">
        <v>44</v>
      </c>
      <c r="G50" s="1" t="s">
        <v>44</v>
      </c>
    </row>
    <row r="51" spans="1:7">
      <c r="A51" s="2">
        <v>46134</v>
      </c>
      <c r="B51" s="1">
        <v>8000070957</v>
      </c>
      <c r="C51" s="3" t="s">
        <v>320</v>
      </c>
      <c r="D51" s="3" t="s">
        <v>41</v>
      </c>
      <c r="E51" s="1" t="s">
        <v>44</v>
      </c>
      <c r="F51" s="1" t="s">
        <v>44</v>
      </c>
      <c r="G51" s="1" t="s">
        <v>44</v>
      </c>
    </row>
    <row r="52" spans="1:7">
      <c r="A52" s="2">
        <v>46129</v>
      </c>
      <c r="B52" s="1">
        <v>8000070997</v>
      </c>
      <c r="C52" s="3" t="s">
        <v>322</v>
      </c>
      <c r="D52" s="3" t="s">
        <v>105</v>
      </c>
      <c r="E52" s="1" t="s">
        <v>44</v>
      </c>
      <c r="F52" s="1" t="s">
        <v>44</v>
      </c>
      <c r="G52" s="1" t="s">
        <v>44</v>
      </c>
    </row>
    <row r="53" spans="1:7">
      <c r="A53" s="2">
        <v>46135</v>
      </c>
      <c r="B53" s="1">
        <v>8000071105</v>
      </c>
      <c r="C53" s="3" t="s">
        <v>327</v>
      </c>
      <c r="D53" s="3" t="s">
        <v>41</v>
      </c>
      <c r="E53" s="1">
        <v>33</v>
      </c>
      <c r="F53" s="1">
        <v>33</v>
      </c>
      <c r="G53" t="s">
        <v>247</v>
      </c>
    </row>
    <row r="54" spans="1:7">
      <c r="A54" s="2">
        <v>46129</v>
      </c>
      <c r="B54" s="1">
        <v>8000071108</v>
      </c>
      <c r="C54" s="3" t="s">
        <v>328</v>
      </c>
      <c r="D54" s="3" t="s">
        <v>158</v>
      </c>
      <c r="E54" s="1" t="s">
        <v>44</v>
      </c>
      <c r="F54" s="1" t="s">
        <v>44</v>
      </c>
      <c r="G54" s="1" t="s">
        <v>44</v>
      </c>
    </row>
    <row r="55" spans="1:7">
      <c r="A55" s="2">
        <v>46129</v>
      </c>
      <c r="B55" s="1">
        <v>8000071138</v>
      </c>
      <c r="C55" s="3" t="s">
        <v>331</v>
      </c>
      <c r="D55" s="3" t="s">
        <v>136</v>
      </c>
      <c r="E55" s="1" t="s">
        <v>44</v>
      </c>
      <c r="F55" s="1" t="s">
        <v>44</v>
      </c>
      <c r="G55" s="1" t="s">
        <v>44</v>
      </c>
    </row>
    <row r="56" spans="1:7">
      <c r="A56" s="2">
        <v>46129</v>
      </c>
      <c r="B56" s="1">
        <v>8000071214</v>
      </c>
      <c r="C56" s="3" t="s">
        <v>334</v>
      </c>
      <c r="D56" s="3" t="s">
        <v>75</v>
      </c>
      <c r="E56" s="1" t="s">
        <v>44</v>
      </c>
      <c r="F56" s="1" t="s">
        <v>44</v>
      </c>
      <c r="G56" s="1" t="s">
        <v>44</v>
      </c>
    </row>
    <row r="57" spans="1:7">
      <c r="A57" s="2">
        <v>46127</v>
      </c>
      <c r="B57" s="1">
        <v>8000071267</v>
      </c>
      <c r="C57" s="3" t="s">
        <v>335</v>
      </c>
      <c r="D57" s="3" t="s">
        <v>158</v>
      </c>
      <c r="E57" s="1">
        <v>70</v>
      </c>
      <c r="F57" s="1">
        <v>84.18</v>
      </c>
      <c r="G57" t="s">
        <v>336</v>
      </c>
    </row>
  </sheetData>
  <conditionalFormatting sqref="A1:B1">
    <cfRule type="duplicateValues" dxfId="26" priority="1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E777-D512-476E-A047-A3C20A3E3495}">
  <dimension ref="A1:G44"/>
  <sheetViews>
    <sheetView topLeftCell="A18" workbookViewId="0">
      <selection activeCell="F2" sqref="F2:F44"/>
    </sheetView>
  </sheetViews>
  <sheetFormatPr defaultRowHeight="14.45"/>
  <cols>
    <col min="1" max="1" width="10.7109375" customWidth="1"/>
    <col min="2" max="2" width="11" bestFit="1" customWidth="1"/>
    <col min="3" max="3" width="43.42578125" bestFit="1" customWidth="1"/>
    <col min="4" max="4" width="52" bestFit="1" customWidth="1"/>
    <col min="5" max="5" width="20.42578125" customWidth="1"/>
    <col min="6" max="6" width="20.5703125" customWidth="1"/>
    <col min="7" max="7" width="73.5703125" bestFit="1" customWidth="1"/>
  </cols>
  <sheetData>
    <row r="1" spans="1:7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>
      <c r="A2" s="2">
        <v>46164</v>
      </c>
      <c r="B2" s="1">
        <v>8000066644</v>
      </c>
      <c r="C2" s="3" t="s">
        <v>68</v>
      </c>
      <c r="D2" s="3" t="s">
        <v>67</v>
      </c>
      <c r="E2" s="1">
        <v>66</v>
      </c>
      <c r="F2" s="1">
        <v>66</v>
      </c>
      <c r="G2" t="s">
        <v>69</v>
      </c>
    </row>
    <row r="3" spans="1:7">
      <c r="A3" s="2">
        <v>46164</v>
      </c>
      <c r="B3" s="1">
        <v>8000067076</v>
      </c>
      <c r="C3" s="3" t="s">
        <v>93</v>
      </c>
      <c r="D3" s="3" t="s">
        <v>94</v>
      </c>
      <c r="E3" s="1" t="s">
        <v>44</v>
      </c>
      <c r="F3" s="1" t="s">
        <v>44</v>
      </c>
      <c r="G3" s="1" t="s">
        <v>44</v>
      </c>
    </row>
    <row r="4" spans="1:7">
      <c r="A4" s="2">
        <v>46163</v>
      </c>
      <c r="B4" s="1">
        <v>8000067323</v>
      </c>
      <c r="C4" s="3" t="s">
        <v>107</v>
      </c>
      <c r="D4" s="3" t="s">
        <v>94</v>
      </c>
      <c r="E4" s="1" t="s">
        <v>44</v>
      </c>
      <c r="F4" s="1" t="s">
        <v>44</v>
      </c>
      <c r="G4" s="1" t="s">
        <v>44</v>
      </c>
    </row>
    <row r="5" spans="1:7">
      <c r="A5" s="2">
        <v>46157</v>
      </c>
      <c r="B5" s="1">
        <v>8000069066</v>
      </c>
      <c r="C5" s="3" t="s">
        <v>225</v>
      </c>
      <c r="D5" s="3" t="s">
        <v>54</v>
      </c>
      <c r="E5" s="1" t="s">
        <v>44</v>
      </c>
      <c r="F5" s="1" t="s">
        <v>44</v>
      </c>
      <c r="G5" s="1" t="s">
        <v>44</v>
      </c>
    </row>
    <row r="6" spans="1:7">
      <c r="A6" s="2">
        <v>46142</v>
      </c>
      <c r="B6" s="1">
        <v>8000069598</v>
      </c>
      <c r="C6" s="3" t="s">
        <v>253</v>
      </c>
      <c r="D6" s="3" t="s">
        <v>136</v>
      </c>
      <c r="E6" s="1">
        <v>50</v>
      </c>
      <c r="F6" s="1">
        <v>72.06</v>
      </c>
      <c r="G6" t="s">
        <v>254</v>
      </c>
    </row>
    <row r="7" spans="1:7">
      <c r="A7" s="2">
        <v>46142</v>
      </c>
      <c r="B7" s="1">
        <v>8000069708</v>
      </c>
      <c r="C7" s="3" t="s">
        <v>258</v>
      </c>
      <c r="D7" s="3" t="s">
        <v>75</v>
      </c>
      <c r="E7" s="1" t="s">
        <v>44</v>
      </c>
      <c r="F7" s="1" t="s">
        <v>44</v>
      </c>
      <c r="G7" s="1" t="s">
        <v>44</v>
      </c>
    </row>
    <row r="8" spans="1:7">
      <c r="A8" s="2">
        <v>46167</v>
      </c>
      <c r="B8" s="1">
        <v>8000069781</v>
      </c>
      <c r="C8" s="3" t="s">
        <v>260</v>
      </c>
      <c r="D8" s="3" t="s">
        <v>75</v>
      </c>
      <c r="E8" s="1" t="s">
        <v>44</v>
      </c>
      <c r="F8" s="1" t="s">
        <v>44</v>
      </c>
      <c r="G8" s="1" t="s">
        <v>44</v>
      </c>
    </row>
    <row r="9" spans="1:7">
      <c r="A9" s="2">
        <v>46153</v>
      </c>
      <c r="B9" s="1">
        <v>8000069825</v>
      </c>
      <c r="C9" s="3" t="s">
        <v>262</v>
      </c>
      <c r="D9" s="3" t="s">
        <v>136</v>
      </c>
      <c r="E9" s="1" t="s">
        <v>44</v>
      </c>
      <c r="F9" s="1" t="s">
        <v>44</v>
      </c>
      <c r="G9" s="1" t="s">
        <v>44</v>
      </c>
    </row>
    <row r="10" spans="1:7">
      <c r="A10" s="2">
        <v>46160</v>
      </c>
      <c r="B10" s="1">
        <v>8000069940</v>
      </c>
      <c r="C10" s="3" t="s">
        <v>264</v>
      </c>
      <c r="D10" s="3" t="s">
        <v>265</v>
      </c>
      <c r="E10" s="1" t="s">
        <v>44</v>
      </c>
      <c r="F10" s="1" t="s">
        <v>44</v>
      </c>
      <c r="G10" s="1" t="s">
        <v>44</v>
      </c>
    </row>
    <row r="11" spans="1:7">
      <c r="A11" s="2">
        <v>46154</v>
      </c>
      <c r="B11" s="1">
        <v>8000070139</v>
      </c>
      <c r="C11" s="3" t="s">
        <v>271</v>
      </c>
      <c r="D11" s="3" t="s">
        <v>272</v>
      </c>
      <c r="E11" s="1">
        <v>60</v>
      </c>
      <c r="F11" s="1">
        <v>99.36</v>
      </c>
      <c r="G11" t="s">
        <v>273</v>
      </c>
    </row>
    <row r="12" spans="1:7">
      <c r="A12" s="2">
        <v>46147</v>
      </c>
      <c r="B12" s="1">
        <v>8000070177</v>
      </c>
      <c r="C12" s="3" t="s">
        <v>278</v>
      </c>
      <c r="D12" s="3" t="s">
        <v>75</v>
      </c>
      <c r="E12" s="1" t="s">
        <v>44</v>
      </c>
      <c r="F12" s="1" t="s">
        <v>44</v>
      </c>
      <c r="G12" s="1" t="s">
        <v>44</v>
      </c>
    </row>
    <row r="13" spans="1:7">
      <c r="A13" s="2">
        <v>46142</v>
      </c>
      <c r="B13" s="1">
        <v>8000070252</v>
      </c>
      <c r="C13" s="3" t="s">
        <v>284</v>
      </c>
      <c r="D13" s="3" t="s">
        <v>203</v>
      </c>
      <c r="E13" s="1" t="s">
        <v>44</v>
      </c>
      <c r="F13" s="1" t="s">
        <v>44</v>
      </c>
      <c r="G13" s="1" t="s">
        <v>44</v>
      </c>
    </row>
    <row r="14" spans="1:7">
      <c r="A14" s="2">
        <v>46142</v>
      </c>
      <c r="B14" s="1">
        <v>8000070614</v>
      </c>
      <c r="C14" s="3" t="s">
        <v>308</v>
      </c>
      <c r="D14" s="3" t="s">
        <v>75</v>
      </c>
      <c r="E14" s="1" t="s">
        <v>44</v>
      </c>
      <c r="F14" s="1" t="s">
        <v>44</v>
      </c>
      <c r="G14" s="1" t="s">
        <v>44</v>
      </c>
    </row>
    <row r="15" spans="1:7">
      <c r="A15" s="2">
        <v>46147</v>
      </c>
      <c r="B15" s="1">
        <v>8000070811</v>
      </c>
      <c r="C15" s="3" t="s">
        <v>315</v>
      </c>
      <c r="D15" s="3" t="s">
        <v>41</v>
      </c>
      <c r="E15" s="1">
        <v>119</v>
      </c>
      <c r="F15" s="1">
        <v>119</v>
      </c>
      <c r="G15" t="s">
        <v>316</v>
      </c>
    </row>
    <row r="16" spans="1:7">
      <c r="A16" s="2">
        <v>46153</v>
      </c>
      <c r="B16" s="1">
        <v>8000070910</v>
      </c>
      <c r="C16" s="3" t="s">
        <v>317</v>
      </c>
      <c r="D16" s="3" t="s">
        <v>203</v>
      </c>
      <c r="E16" s="1" t="s">
        <v>44</v>
      </c>
      <c r="F16" s="1" t="s">
        <v>44</v>
      </c>
      <c r="G16" s="1" t="s">
        <v>44</v>
      </c>
    </row>
    <row r="17" spans="1:7">
      <c r="A17" s="2">
        <v>46153</v>
      </c>
      <c r="B17" s="1">
        <v>8000070981</v>
      </c>
      <c r="C17" s="3" t="s">
        <v>321</v>
      </c>
      <c r="D17" s="3" t="s">
        <v>75</v>
      </c>
      <c r="E17" s="1" t="s">
        <v>44</v>
      </c>
      <c r="F17" s="1" t="s">
        <v>44</v>
      </c>
      <c r="G17" s="1" t="s">
        <v>44</v>
      </c>
    </row>
    <row r="18" spans="1:7">
      <c r="A18" s="2">
        <v>46163</v>
      </c>
      <c r="B18" s="1">
        <v>8000071026</v>
      </c>
      <c r="C18" s="3" t="s">
        <v>324</v>
      </c>
      <c r="D18" s="3" t="s">
        <v>41</v>
      </c>
      <c r="E18" s="1">
        <v>62</v>
      </c>
      <c r="F18" s="1">
        <v>62</v>
      </c>
      <c r="G18" t="s">
        <v>325</v>
      </c>
    </row>
    <row r="19" spans="1:7">
      <c r="A19" s="2">
        <v>46155</v>
      </c>
      <c r="B19" s="1">
        <v>8000071028</v>
      </c>
      <c r="C19" s="3" t="s">
        <v>326</v>
      </c>
      <c r="D19" s="3" t="s">
        <v>265</v>
      </c>
      <c r="E19" s="1" t="s">
        <v>44</v>
      </c>
      <c r="F19" s="1" t="s">
        <v>44</v>
      </c>
      <c r="G19" s="1" t="s">
        <v>44</v>
      </c>
    </row>
    <row r="20" spans="1:7">
      <c r="A20" s="2">
        <v>46153</v>
      </c>
      <c r="B20" s="1">
        <v>8000071116</v>
      </c>
      <c r="C20" s="3" t="s">
        <v>329</v>
      </c>
      <c r="D20" s="3" t="s">
        <v>75</v>
      </c>
      <c r="E20" s="1" t="s">
        <v>44</v>
      </c>
      <c r="F20" s="1" t="s">
        <v>44</v>
      </c>
      <c r="G20" s="1" t="s">
        <v>44</v>
      </c>
    </row>
    <row r="21" spans="1:7">
      <c r="A21" s="2">
        <v>46149</v>
      </c>
      <c r="B21" s="1">
        <v>8000071125</v>
      </c>
      <c r="C21" s="3" t="s">
        <v>330</v>
      </c>
      <c r="D21" s="3" t="s">
        <v>203</v>
      </c>
      <c r="E21" s="1" t="s">
        <v>44</v>
      </c>
      <c r="F21" s="1" t="s">
        <v>44</v>
      </c>
      <c r="G21" s="1" t="s">
        <v>44</v>
      </c>
    </row>
    <row r="22" spans="1:7">
      <c r="A22" s="2">
        <v>46147</v>
      </c>
      <c r="B22" s="1">
        <v>8000071161</v>
      </c>
      <c r="C22" s="3" t="s">
        <v>332</v>
      </c>
      <c r="D22" s="3" t="s">
        <v>41</v>
      </c>
      <c r="E22" s="1">
        <v>43</v>
      </c>
      <c r="F22" s="1">
        <v>43</v>
      </c>
      <c r="G22" t="s">
        <v>333</v>
      </c>
    </row>
    <row r="23" spans="1:7">
      <c r="A23" s="2">
        <v>46146</v>
      </c>
      <c r="B23" s="1">
        <v>8000071296</v>
      </c>
      <c r="C23" s="3" t="s">
        <v>337</v>
      </c>
      <c r="D23" s="3" t="s">
        <v>67</v>
      </c>
      <c r="E23" s="1">
        <v>31</v>
      </c>
      <c r="F23" s="1">
        <v>32.29</v>
      </c>
      <c r="G23" t="s">
        <v>338</v>
      </c>
    </row>
    <row r="24" spans="1:7">
      <c r="A24" s="2">
        <v>46142</v>
      </c>
      <c r="B24" s="1">
        <v>8000071399</v>
      </c>
      <c r="C24" s="3" t="s">
        <v>339</v>
      </c>
      <c r="D24" s="3" t="s">
        <v>75</v>
      </c>
      <c r="E24" s="1" t="s">
        <v>44</v>
      </c>
      <c r="F24" s="1" t="s">
        <v>44</v>
      </c>
      <c r="G24" s="1" t="s">
        <v>44</v>
      </c>
    </row>
    <row r="25" spans="1:7">
      <c r="A25" s="2">
        <v>46146</v>
      </c>
      <c r="B25" s="1">
        <v>8000071540</v>
      </c>
      <c r="C25" s="3" t="s">
        <v>342</v>
      </c>
      <c r="D25" s="3" t="s">
        <v>203</v>
      </c>
      <c r="E25" s="1" t="s">
        <v>44</v>
      </c>
      <c r="F25" s="1" t="s">
        <v>44</v>
      </c>
      <c r="G25" s="1" t="s">
        <v>44</v>
      </c>
    </row>
    <row r="26" spans="1:7">
      <c r="A26" s="2">
        <v>46146</v>
      </c>
      <c r="B26" s="1">
        <v>8000071544</v>
      </c>
      <c r="C26" s="3" t="s">
        <v>343</v>
      </c>
      <c r="D26" s="3" t="s">
        <v>41</v>
      </c>
      <c r="E26" s="1">
        <v>58</v>
      </c>
      <c r="F26" s="1">
        <v>58</v>
      </c>
      <c r="G26" t="s">
        <v>344</v>
      </c>
    </row>
    <row r="27" spans="1:7">
      <c r="A27" s="2">
        <v>46146</v>
      </c>
      <c r="B27" s="1">
        <v>8000071609</v>
      </c>
      <c r="C27" s="3" t="s">
        <v>347</v>
      </c>
      <c r="D27" s="3" t="s">
        <v>94</v>
      </c>
      <c r="E27" s="1">
        <v>94</v>
      </c>
      <c r="F27" s="1">
        <v>94</v>
      </c>
      <c r="G27" t="s">
        <v>348</v>
      </c>
    </row>
    <row r="28" spans="1:7">
      <c r="A28" s="2">
        <v>46155</v>
      </c>
      <c r="B28" s="1">
        <v>8000071641</v>
      </c>
      <c r="C28" s="3" t="s">
        <v>350</v>
      </c>
      <c r="D28" s="3" t="s">
        <v>341</v>
      </c>
      <c r="E28" s="1" t="s">
        <v>44</v>
      </c>
      <c r="F28" s="1" t="s">
        <v>44</v>
      </c>
      <c r="G28" s="1" t="s">
        <v>44</v>
      </c>
    </row>
    <row r="29" spans="1:7">
      <c r="A29" s="2">
        <v>46147</v>
      </c>
      <c r="B29" s="1">
        <v>8000071709</v>
      </c>
      <c r="C29" s="3" t="s">
        <v>351</v>
      </c>
      <c r="D29" s="3" t="s">
        <v>158</v>
      </c>
      <c r="E29" s="1" t="s">
        <v>44</v>
      </c>
      <c r="F29" s="1" t="s">
        <v>44</v>
      </c>
      <c r="G29" s="1" t="s">
        <v>44</v>
      </c>
    </row>
    <row r="30" spans="1:7">
      <c r="A30" s="2">
        <v>46160</v>
      </c>
      <c r="B30" s="1">
        <v>8000071721</v>
      </c>
      <c r="C30" s="3" t="s">
        <v>352</v>
      </c>
      <c r="D30" s="3" t="s">
        <v>41</v>
      </c>
      <c r="E30" s="1" t="s">
        <v>44</v>
      </c>
      <c r="F30" s="1" t="s">
        <v>44</v>
      </c>
      <c r="G30" s="1" t="s">
        <v>44</v>
      </c>
    </row>
    <row r="31" spans="1:7">
      <c r="A31" s="2">
        <v>46150</v>
      </c>
      <c r="B31" s="1">
        <v>8000071722</v>
      </c>
      <c r="C31" s="3" t="s">
        <v>353</v>
      </c>
      <c r="D31" s="3" t="s">
        <v>41</v>
      </c>
      <c r="E31" s="1" t="s">
        <v>44</v>
      </c>
      <c r="F31" s="1" t="s">
        <v>44</v>
      </c>
      <c r="G31" s="1" t="s">
        <v>44</v>
      </c>
    </row>
    <row r="32" spans="1:7">
      <c r="A32" s="2">
        <v>46149</v>
      </c>
      <c r="B32" s="1">
        <v>8000071780</v>
      </c>
      <c r="C32" s="3" t="s">
        <v>359</v>
      </c>
      <c r="D32" s="3" t="s">
        <v>105</v>
      </c>
      <c r="E32" s="1" t="s">
        <v>44</v>
      </c>
      <c r="F32" s="1" t="s">
        <v>44</v>
      </c>
      <c r="G32" s="1" t="s">
        <v>44</v>
      </c>
    </row>
    <row r="33" spans="1:7">
      <c r="A33" s="2">
        <v>46142</v>
      </c>
      <c r="B33" s="1">
        <v>8000071825</v>
      </c>
      <c r="C33" s="3" t="s">
        <v>360</v>
      </c>
      <c r="D33" s="3" t="s">
        <v>41</v>
      </c>
      <c r="E33" s="1">
        <v>28</v>
      </c>
      <c r="F33" s="1">
        <v>28</v>
      </c>
      <c r="G33" t="s">
        <v>247</v>
      </c>
    </row>
    <row r="34" spans="1:7">
      <c r="A34" s="2">
        <v>46167</v>
      </c>
      <c r="B34" s="1">
        <v>8000071845</v>
      </c>
      <c r="C34" s="3" t="s">
        <v>361</v>
      </c>
      <c r="D34" s="3" t="s">
        <v>67</v>
      </c>
      <c r="E34" s="1" t="s">
        <v>44</v>
      </c>
      <c r="F34" s="1" t="s">
        <v>44</v>
      </c>
      <c r="G34" s="1" t="s">
        <v>44</v>
      </c>
    </row>
    <row r="35" spans="1:7">
      <c r="A35" s="2">
        <v>46149</v>
      </c>
      <c r="B35" s="1">
        <v>8000071854</v>
      </c>
      <c r="C35" s="3" t="s">
        <v>362</v>
      </c>
      <c r="D35" s="3" t="s">
        <v>67</v>
      </c>
      <c r="E35" s="1" t="s">
        <v>44</v>
      </c>
      <c r="F35" s="1" t="s">
        <v>44</v>
      </c>
      <c r="G35" s="1" t="s">
        <v>44</v>
      </c>
    </row>
    <row r="36" spans="1:7">
      <c r="A36" s="2">
        <v>46147</v>
      </c>
      <c r="B36" s="1">
        <v>8000071999</v>
      </c>
      <c r="C36" s="3" t="s">
        <v>365</v>
      </c>
      <c r="D36" s="3" t="s">
        <v>41</v>
      </c>
      <c r="E36" s="1">
        <v>27</v>
      </c>
      <c r="F36" s="1">
        <v>27</v>
      </c>
      <c r="G36" t="s">
        <v>366</v>
      </c>
    </row>
    <row r="37" spans="1:7">
      <c r="A37" s="2">
        <v>46161</v>
      </c>
      <c r="B37" s="1">
        <v>8000072005</v>
      </c>
      <c r="C37" s="3" t="s">
        <v>367</v>
      </c>
      <c r="D37" s="3" t="s">
        <v>203</v>
      </c>
      <c r="E37" s="1">
        <v>33</v>
      </c>
      <c r="F37" s="1">
        <v>43.6</v>
      </c>
      <c r="G37" t="s">
        <v>368</v>
      </c>
    </row>
    <row r="38" spans="1:7">
      <c r="A38" s="2">
        <v>46142</v>
      </c>
      <c r="B38" s="1">
        <v>8000072055</v>
      </c>
      <c r="C38" s="3" t="s">
        <v>369</v>
      </c>
      <c r="D38" s="3" t="s">
        <v>136</v>
      </c>
      <c r="E38" s="1">
        <v>46</v>
      </c>
      <c r="F38" s="1">
        <v>65.680000000000007</v>
      </c>
      <c r="G38" t="s">
        <v>370</v>
      </c>
    </row>
    <row r="39" spans="1:7">
      <c r="A39" s="2">
        <v>46153</v>
      </c>
      <c r="B39" s="1">
        <v>8000072354</v>
      </c>
      <c r="C39" s="3" t="s">
        <v>375</v>
      </c>
      <c r="D39" s="3" t="s">
        <v>41</v>
      </c>
      <c r="E39" s="1">
        <v>49</v>
      </c>
      <c r="F39" s="1">
        <v>49</v>
      </c>
      <c r="G39" t="s">
        <v>376</v>
      </c>
    </row>
    <row r="40" spans="1:7">
      <c r="A40" s="2">
        <v>46150</v>
      </c>
      <c r="B40" s="1">
        <v>8000072367</v>
      </c>
      <c r="C40" s="3" t="s">
        <v>377</v>
      </c>
      <c r="D40" s="3" t="s">
        <v>102</v>
      </c>
      <c r="E40" s="1" t="s">
        <v>44</v>
      </c>
      <c r="F40" s="1" t="s">
        <v>44</v>
      </c>
      <c r="G40" s="1" t="s">
        <v>44</v>
      </c>
    </row>
    <row r="41" spans="1:7">
      <c r="A41" s="2">
        <v>46157</v>
      </c>
      <c r="B41" s="1">
        <v>8000072379</v>
      </c>
      <c r="C41" s="3" t="s">
        <v>378</v>
      </c>
      <c r="D41" s="3" t="s">
        <v>62</v>
      </c>
      <c r="E41" s="1" t="s">
        <v>44</v>
      </c>
      <c r="F41" s="1" t="s">
        <v>44</v>
      </c>
      <c r="G41" s="1" t="s">
        <v>44</v>
      </c>
    </row>
    <row r="42" spans="1:7">
      <c r="A42" s="2">
        <v>46156</v>
      </c>
      <c r="B42" s="1">
        <v>8000072645</v>
      </c>
      <c r="C42" s="3" t="s">
        <v>381</v>
      </c>
      <c r="D42" s="3" t="s">
        <v>382</v>
      </c>
      <c r="E42" s="1" t="s">
        <v>44</v>
      </c>
      <c r="F42" s="1" t="s">
        <v>44</v>
      </c>
      <c r="G42" s="1" t="s">
        <v>44</v>
      </c>
    </row>
    <row r="43" spans="1:7">
      <c r="A43" s="2">
        <v>46164</v>
      </c>
      <c r="B43" s="1">
        <v>8000072696</v>
      </c>
      <c r="C43" s="3" t="s">
        <v>385</v>
      </c>
      <c r="D43" s="3" t="s">
        <v>41</v>
      </c>
      <c r="E43" s="1">
        <v>74</v>
      </c>
      <c r="F43" s="1">
        <v>74</v>
      </c>
      <c r="G43" t="s">
        <v>386</v>
      </c>
    </row>
    <row r="44" spans="1:7">
      <c r="A44" s="2">
        <v>46164</v>
      </c>
      <c r="B44" s="1">
        <v>8000072892</v>
      </c>
      <c r="C44" s="3" t="s">
        <v>389</v>
      </c>
      <c r="D44" s="3" t="s">
        <v>41</v>
      </c>
      <c r="E44" s="1">
        <v>74</v>
      </c>
      <c r="F44" s="1">
        <v>74</v>
      </c>
      <c r="G44" t="s">
        <v>390</v>
      </c>
    </row>
  </sheetData>
  <conditionalFormatting sqref="A1:B1">
    <cfRule type="duplicateValues" dxfId="17" priority="1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5EEAD-189A-4EA1-9CE3-935303BF0041}">
  <dimension ref="A1:G41"/>
  <sheetViews>
    <sheetView workbookViewId="0">
      <selection activeCell="C40" sqref="C40"/>
    </sheetView>
  </sheetViews>
  <sheetFormatPr defaultRowHeight="14.45"/>
  <cols>
    <col min="1" max="1" width="10.7109375" customWidth="1"/>
    <col min="2" max="2" width="11" bestFit="1" customWidth="1"/>
    <col min="3" max="3" width="43.42578125" bestFit="1" customWidth="1"/>
    <col min="4" max="4" width="52" bestFit="1" customWidth="1"/>
    <col min="5" max="5" width="20.42578125" customWidth="1"/>
    <col min="6" max="6" width="20.5703125" customWidth="1"/>
    <col min="7" max="7" width="46.85546875" bestFit="1" customWidth="1"/>
  </cols>
  <sheetData>
    <row r="1" spans="1:7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>
      <c r="A2" s="2">
        <v>46178</v>
      </c>
      <c r="B2" s="1">
        <v>8000066112</v>
      </c>
      <c r="C2" s="3" t="s">
        <v>43</v>
      </c>
      <c r="D2" s="3" t="s">
        <v>41</v>
      </c>
      <c r="E2" s="1" t="s">
        <v>44</v>
      </c>
      <c r="F2" s="1" t="s">
        <v>44</v>
      </c>
      <c r="G2" s="1" t="s">
        <v>44</v>
      </c>
    </row>
    <row r="3" spans="1:7">
      <c r="A3" s="2">
        <v>46178</v>
      </c>
      <c r="B3" s="1">
        <v>8000069303</v>
      </c>
      <c r="C3" s="3" t="s">
        <v>234</v>
      </c>
      <c r="D3" s="3" t="s">
        <v>41</v>
      </c>
      <c r="E3" s="1" t="s">
        <v>44</v>
      </c>
      <c r="F3" s="1" t="s">
        <v>44</v>
      </c>
      <c r="G3" s="1" t="s">
        <v>44</v>
      </c>
    </row>
    <row r="4" spans="1:7">
      <c r="A4" s="2">
        <v>46171</v>
      </c>
      <c r="B4" s="1">
        <v>8000069430</v>
      </c>
      <c r="C4" s="3" t="s">
        <v>241</v>
      </c>
      <c r="D4" s="3" t="s">
        <v>203</v>
      </c>
      <c r="E4" s="1" t="s">
        <v>44</v>
      </c>
      <c r="F4" s="1" t="s">
        <v>44</v>
      </c>
      <c r="G4" s="1" t="s">
        <v>44</v>
      </c>
    </row>
    <row r="5" spans="1:7">
      <c r="A5" s="2">
        <v>46174</v>
      </c>
      <c r="B5" s="1">
        <v>8000069712</v>
      </c>
      <c r="C5" s="3" t="s">
        <v>259</v>
      </c>
      <c r="D5" s="3" t="s">
        <v>75</v>
      </c>
      <c r="E5" s="1" t="s">
        <v>44</v>
      </c>
      <c r="F5" s="1" t="s">
        <v>44</v>
      </c>
      <c r="G5" s="1" t="s">
        <v>44</v>
      </c>
    </row>
    <row r="6" spans="1:7">
      <c r="A6" s="2">
        <v>46178</v>
      </c>
      <c r="B6" s="1">
        <v>8000070025</v>
      </c>
      <c r="C6" s="3" t="s">
        <v>268</v>
      </c>
      <c r="D6" s="3" t="s">
        <v>41</v>
      </c>
      <c r="E6" s="1" t="s">
        <v>44</v>
      </c>
      <c r="F6" s="1" t="s">
        <v>44</v>
      </c>
      <c r="G6" s="1" t="s">
        <v>44</v>
      </c>
    </row>
    <row r="7" spans="1:7">
      <c r="A7" s="2">
        <v>46182</v>
      </c>
      <c r="B7" s="1">
        <v>8000070097</v>
      </c>
      <c r="C7" s="3" t="s">
        <v>270</v>
      </c>
      <c r="D7" s="3" t="s">
        <v>41</v>
      </c>
      <c r="E7" s="1" t="s">
        <v>44</v>
      </c>
      <c r="F7" s="1" t="s">
        <v>44</v>
      </c>
      <c r="G7" s="1" t="s">
        <v>44</v>
      </c>
    </row>
    <row r="8" spans="1:7">
      <c r="A8" s="2">
        <v>46182</v>
      </c>
      <c r="B8" s="1">
        <v>8000070164</v>
      </c>
      <c r="C8" s="3" t="s">
        <v>274</v>
      </c>
      <c r="D8" s="3" t="s">
        <v>105</v>
      </c>
      <c r="E8" s="1" t="s">
        <v>44</v>
      </c>
      <c r="F8" s="1" t="s">
        <v>44</v>
      </c>
      <c r="G8" s="1" t="s">
        <v>44</v>
      </c>
    </row>
    <row r="9" spans="1:7">
      <c r="A9" s="2">
        <v>46168</v>
      </c>
      <c r="B9" s="1">
        <v>8000070643</v>
      </c>
      <c r="C9" s="3" t="s">
        <v>309</v>
      </c>
      <c r="D9" s="3" t="s">
        <v>41</v>
      </c>
      <c r="E9" s="1" t="s">
        <v>44</v>
      </c>
      <c r="F9" s="1" t="s">
        <v>44</v>
      </c>
      <c r="G9" s="1" t="s">
        <v>44</v>
      </c>
    </row>
    <row r="10" spans="1:7">
      <c r="A10" s="2">
        <v>46178</v>
      </c>
      <c r="B10" s="1">
        <v>8000070674</v>
      </c>
      <c r="C10" s="3" t="s">
        <v>310</v>
      </c>
      <c r="D10" s="3" t="s">
        <v>41</v>
      </c>
      <c r="E10" s="1" t="s">
        <v>44</v>
      </c>
      <c r="F10" s="1" t="s">
        <v>44</v>
      </c>
      <c r="G10" s="1" t="s">
        <v>44</v>
      </c>
    </row>
    <row r="11" spans="1:7">
      <c r="A11" s="2">
        <v>46183</v>
      </c>
      <c r="B11" s="1">
        <v>8000071012</v>
      </c>
      <c r="C11" s="3" t="s">
        <v>323</v>
      </c>
      <c r="D11" s="3" t="s">
        <v>41</v>
      </c>
      <c r="E11" s="1" t="s">
        <v>44</v>
      </c>
      <c r="F11" s="1" t="s">
        <v>44</v>
      </c>
      <c r="G11" s="1" t="s">
        <v>44</v>
      </c>
    </row>
    <row r="12" spans="1:7">
      <c r="A12" s="2">
        <v>46175</v>
      </c>
      <c r="B12" s="1">
        <v>8000071476</v>
      </c>
      <c r="C12" s="3" t="s">
        <v>340</v>
      </c>
      <c r="D12" s="3" t="s">
        <v>341</v>
      </c>
      <c r="E12" s="1" t="s">
        <v>44</v>
      </c>
      <c r="F12" s="1" t="s">
        <v>44</v>
      </c>
      <c r="G12" s="1" t="s">
        <v>44</v>
      </c>
    </row>
    <row r="13" spans="1:7">
      <c r="A13" s="2">
        <v>46181</v>
      </c>
      <c r="B13" s="1">
        <v>8000071559</v>
      </c>
      <c r="C13" s="3" t="s">
        <v>345</v>
      </c>
      <c r="D13" s="3" t="s">
        <v>41</v>
      </c>
      <c r="E13" s="1">
        <v>109</v>
      </c>
      <c r="F13" s="1">
        <v>109</v>
      </c>
      <c r="G13" t="s">
        <v>346</v>
      </c>
    </row>
    <row r="14" spans="1:7">
      <c r="A14" s="2">
        <v>46174</v>
      </c>
      <c r="B14" s="1">
        <v>8000071626</v>
      </c>
      <c r="C14" s="3" t="s">
        <v>349</v>
      </c>
      <c r="D14" s="3" t="s">
        <v>102</v>
      </c>
      <c r="E14" s="1" t="s">
        <v>44</v>
      </c>
      <c r="F14" s="1" t="s">
        <v>44</v>
      </c>
      <c r="G14" s="1" t="s">
        <v>44</v>
      </c>
    </row>
    <row r="15" spans="1:7">
      <c r="A15" s="2">
        <v>46171</v>
      </c>
      <c r="B15" s="1">
        <v>8000071754</v>
      </c>
      <c r="C15" s="3" t="s">
        <v>354</v>
      </c>
      <c r="D15" s="3" t="s">
        <v>62</v>
      </c>
      <c r="E15" s="1" t="s">
        <v>44</v>
      </c>
      <c r="F15" s="1" t="s">
        <v>44</v>
      </c>
      <c r="G15" s="1" t="s">
        <v>44</v>
      </c>
    </row>
    <row r="16" spans="1:7">
      <c r="A16" s="2">
        <v>46168</v>
      </c>
      <c r="B16" s="1">
        <v>8000071766</v>
      </c>
      <c r="C16" s="3" t="s">
        <v>355</v>
      </c>
      <c r="D16" s="3" t="s">
        <v>356</v>
      </c>
      <c r="E16" s="1">
        <v>82</v>
      </c>
      <c r="F16" s="1">
        <v>114.46</v>
      </c>
      <c r="G16" t="s">
        <v>357</v>
      </c>
    </row>
    <row r="17" spans="1:7">
      <c r="A17" s="2">
        <v>46176</v>
      </c>
      <c r="B17" s="1">
        <v>8000071916</v>
      </c>
      <c r="C17" s="3" t="s">
        <v>363</v>
      </c>
      <c r="D17" s="3" t="s">
        <v>67</v>
      </c>
      <c r="E17" s="1" t="s">
        <v>44</v>
      </c>
      <c r="F17" s="1" t="s">
        <v>44</v>
      </c>
      <c r="G17" s="1" t="s">
        <v>44</v>
      </c>
    </row>
    <row r="18" spans="1:7">
      <c r="A18" s="2">
        <v>46169</v>
      </c>
      <c r="B18" s="1">
        <v>8000071918</v>
      </c>
      <c r="C18" s="3" t="s">
        <v>364</v>
      </c>
      <c r="D18" s="3" t="s">
        <v>41</v>
      </c>
      <c r="E18" s="1" t="s">
        <v>44</v>
      </c>
      <c r="F18" s="1" t="s">
        <v>44</v>
      </c>
      <c r="G18" s="1" t="s">
        <v>44</v>
      </c>
    </row>
    <row r="19" spans="1:7">
      <c r="A19" s="2">
        <v>46175</v>
      </c>
      <c r="B19" s="1">
        <v>8000072259</v>
      </c>
      <c r="C19" s="3" t="s">
        <v>371</v>
      </c>
      <c r="D19" s="3" t="s">
        <v>272</v>
      </c>
      <c r="E19" s="1">
        <v>41</v>
      </c>
      <c r="F19" s="1">
        <v>64.31</v>
      </c>
      <c r="G19" t="s">
        <v>372</v>
      </c>
    </row>
    <row r="20" spans="1:7">
      <c r="A20" s="2">
        <v>46169</v>
      </c>
      <c r="B20" s="1">
        <v>8000072331</v>
      </c>
      <c r="C20" s="3" t="s">
        <v>373</v>
      </c>
      <c r="D20" s="3" t="s">
        <v>41</v>
      </c>
      <c r="E20" s="1" t="s">
        <v>44</v>
      </c>
      <c r="F20" s="1" t="s">
        <v>44</v>
      </c>
      <c r="G20" s="1" t="s">
        <v>44</v>
      </c>
    </row>
    <row r="21" spans="1:7">
      <c r="A21" s="2">
        <v>46169</v>
      </c>
      <c r="B21" s="1">
        <v>8000072342</v>
      </c>
      <c r="C21" s="3" t="s">
        <v>374</v>
      </c>
      <c r="D21" s="3" t="s">
        <v>41</v>
      </c>
      <c r="E21" s="1" t="s">
        <v>44</v>
      </c>
      <c r="F21" s="1" t="s">
        <v>44</v>
      </c>
      <c r="G21" s="1" t="s">
        <v>44</v>
      </c>
    </row>
    <row r="22" spans="1:7">
      <c r="A22" s="2">
        <v>46169</v>
      </c>
      <c r="B22" s="1">
        <v>8000072476</v>
      </c>
      <c r="C22" s="3" t="s">
        <v>379</v>
      </c>
      <c r="D22" s="3" t="s">
        <v>62</v>
      </c>
      <c r="E22" s="1" t="s">
        <v>44</v>
      </c>
      <c r="F22" s="1" t="s">
        <v>44</v>
      </c>
      <c r="G22" s="1" t="s">
        <v>44</v>
      </c>
    </row>
    <row r="23" spans="1:7">
      <c r="A23" s="2">
        <v>46169</v>
      </c>
      <c r="B23" s="1">
        <v>8000072584</v>
      </c>
      <c r="C23" s="3" t="s">
        <v>380</v>
      </c>
      <c r="D23" s="3" t="s">
        <v>265</v>
      </c>
      <c r="E23" s="1" t="s">
        <v>44</v>
      </c>
      <c r="F23" s="1" t="s">
        <v>44</v>
      </c>
      <c r="G23" s="1" t="s">
        <v>44</v>
      </c>
    </row>
    <row r="24" spans="1:7">
      <c r="A24" s="2">
        <v>46174</v>
      </c>
      <c r="B24" s="1">
        <v>8000072678</v>
      </c>
      <c r="C24" s="3" t="s">
        <v>383</v>
      </c>
      <c r="D24" s="3" t="s">
        <v>79</v>
      </c>
      <c r="E24" s="1" t="s">
        <v>44</v>
      </c>
      <c r="F24" s="1" t="s">
        <v>44</v>
      </c>
      <c r="G24" s="1" t="s">
        <v>44</v>
      </c>
    </row>
    <row r="25" spans="1:7">
      <c r="A25" s="2">
        <v>46175</v>
      </c>
      <c r="B25" s="1">
        <v>8000072690</v>
      </c>
      <c r="C25" s="3" t="s">
        <v>384</v>
      </c>
      <c r="D25" s="3" t="s">
        <v>203</v>
      </c>
      <c r="E25" s="1" t="s">
        <v>44</v>
      </c>
      <c r="F25" s="1" t="s">
        <v>44</v>
      </c>
      <c r="G25" s="1" t="s">
        <v>44</v>
      </c>
    </row>
    <row r="26" spans="1:7">
      <c r="A26" s="2">
        <v>46176</v>
      </c>
      <c r="B26" s="1">
        <v>8000072743</v>
      </c>
      <c r="C26" s="3" t="s">
        <v>387</v>
      </c>
      <c r="D26" s="3" t="s">
        <v>203</v>
      </c>
      <c r="E26" s="1" t="s">
        <v>44</v>
      </c>
      <c r="F26" s="1" t="s">
        <v>44</v>
      </c>
      <c r="G26" s="1" t="s">
        <v>44</v>
      </c>
    </row>
    <row r="27" spans="1:7">
      <c r="A27" s="2">
        <v>46176</v>
      </c>
      <c r="B27" s="1">
        <v>8000072780</v>
      </c>
      <c r="C27" s="3" t="s">
        <v>388</v>
      </c>
      <c r="D27" s="3" t="s">
        <v>62</v>
      </c>
      <c r="E27" s="1" t="s">
        <v>44</v>
      </c>
      <c r="F27" s="1" t="s">
        <v>44</v>
      </c>
      <c r="G27" s="1" t="s">
        <v>44</v>
      </c>
    </row>
    <row r="28" spans="1:7">
      <c r="A28" s="2">
        <v>46174</v>
      </c>
      <c r="B28" s="1">
        <v>8000072997</v>
      </c>
      <c r="C28" s="3" t="s">
        <v>391</v>
      </c>
      <c r="D28" s="3" t="s">
        <v>203</v>
      </c>
      <c r="E28" s="1" t="s">
        <v>44</v>
      </c>
      <c r="F28" s="1" t="s">
        <v>44</v>
      </c>
      <c r="G28" s="1" t="s">
        <v>44</v>
      </c>
    </row>
    <row r="29" spans="1:7">
      <c r="A29" s="2">
        <v>46174</v>
      </c>
      <c r="B29" s="1">
        <v>8000073033</v>
      </c>
      <c r="C29" s="3" t="s">
        <v>392</v>
      </c>
      <c r="D29" s="3" t="s">
        <v>203</v>
      </c>
      <c r="E29" s="1" t="s">
        <v>44</v>
      </c>
      <c r="F29" s="1" t="s">
        <v>44</v>
      </c>
      <c r="G29" s="1" t="s">
        <v>44</v>
      </c>
    </row>
    <row r="30" spans="1:7">
      <c r="A30" s="2">
        <v>46178</v>
      </c>
      <c r="B30" s="1">
        <v>8000073034</v>
      </c>
      <c r="C30" s="3" t="s">
        <v>393</v>
      </c>
      <c r="D30" s="3" t="s">
        <v>203</v>
      </c>
      <c r="E30" s="1" t="s">
        <v>44</v>
      </c>
      <c r="F30" s="1" t="s">
        <v>44</v>
      </c>
      <c r="G30" s="1" t="s">
        <v>44</v>
      </c>
    </row>
    <row r="31" spans="1:7">
      <c r="A31" s="2">
        <v>46182</v>
      </c>
      <c r="B31" s="1">
        <v>8000073073</v>
      </c>
      <c r="C31" s="3" t="s">
        <v>394</v>
      </c>
      <c r="D31" s="3" t="s">
        <v>41</v>
      </c>
      <c r="E31" s="1" t="s">
        <v>44</v>
      </c>
      <c r="F31" s="1" t="s">
        <v>44</v>
      </c>
      <c r="G31" s="1" t="s">
        <v>44</v>
      </c>
    </row>
    <row r="32" spans="1:7">
      <c r="A32" s="2">
        <v>46178</v>
      </c>
      <c r="B32" s="1">
        <v>8000073099</v>
      </c>
      <c r="C32" s="3" t="s">
        <v>395</v>
      </c>
      <c r="D32" s="3" t="s">
        <v>75</v>
      </c>
      <c r="E32" s="1" t="s">
        <v>44</v>
      </c>
      <c r="F32" s="1" t="s">
        <v>44</v>
      </c>
      <c r="G32" s="1" t="s">
        <v>44</v>
      </c>
    </row>
    <row r="33" spans="1:7">
      <c r="A33" s="2">
        <v>46176</v>
      </c>
      <c r="B33" s="1">
        <v>8000073376</v>
      </c>
      <c r="C33" s="3" t="s">
        <v>396</v>
      </c>
      <c r="D33" s="3" t="s">
        <v>75</v>
      </c>
      <c r="E33" s="1" t="s">
        <v>44</v>
      </c>
      <c r="F33" s="1" t="s">
        <v>44</v>
      </c>
      <c r="G33" s="1" t="s">
        <v>44</v>
      </c>
    </row>
    <row r="34" spans="1:7">
      <c r="A34" s="2">
        <v>46175</v>
      </c>
      <c r="B34" s="1">
        <v>8000073377</v>
      </c>
      <c r="C34" s="3" t="s">
        <v>397</v>
      </c>
      <c r="D34" s="3" t="s">
        <v>75</v>
      </c>
      <c r="E34" s="1" t="s">
        <v>44</v>
      </c>
      <c r="F34" s="1" t="s">
        <v>44</v>
      </c>
      <c r="G34" s="1" t="s">
        <v>44</v>
      </c>
    </row>
    <row r="35" spans="1:7">
      <c r="A35" s="2">
        <v>46176</v>
      </c>
      <c r="B35" s="1">
        <v>8000073389</v>
      </c>
      <c r="C35" s="3" t="s">
        <v>398</v>
      </c>
      <c r="D35" s="3" t="s">
        <v>54</v>
      </c>
      <c r="E35" s="1" t="s">
        <v>44</v>
      </c>
      <c r="F35" s="1" t="s">
        <v>44</v>
      </c>
      <c r="G35" s="1" t="s">
        <v>44</v>
      </c>
    </row>
    <row r="36" spans="1:7">
      <c r="A36" s="2">
        <v>46182</v>
      </c>
      <c r="B36" s="1">
        <v>8000073428</v>
      </c>
      <c r="C36" s="3" t="s">
        <v>399</v>
      </c>
      <c r="D36" s="3" t="s">
        <v>41</v>
      </c>
      <c r="E36" s="1">
        <v>46</v>
      </c>
      <c r="F36" s="1">
        <v>46</v>
      </c>
      <c r="G36" t="s">
        <v>400</v>
      </c>
    </row>
    <row r="37" spans="1:7">
      <c r="A37" s="2">
        <v>46181</v>
      </c>
      <c r="B37" s="1">
        <v>8000073432</v>
      </c>
      <c r="C37" s="3" t="s">
        <v>401</v>
      </c>
      <c r="D37" s="3" t="s">
        <v>62</v>
      </c>
      <c r="E37" s="1" t="s">
        <v>44</v>
      </c>
      <c r="F37" s="1" t="s">
        <v>44</v>
      </c>
      <c r="G37" s="1" t="s">
        <v>44</v>
      </c>
    </row>
    <row r="38" spans="1:7">
      <c r="A38" s="2">
        <v>46178</v>
      </c>
      <c r="B38" s="1">
        <v>8000073526</v>
      </c>
      <c r="C38" s="3" t="s">
        <v>402</v>
      </c>
      <c r="D38" s="3" t="s">
        <v>75</v>
      </c>
      <c r="E38" s="1" t="s">
        <v>44</v>
      </c>
      <c r="F38" s="1" t="s">
        <v>44</v>
      </c>
      <c r="G38" s="1" t="s">
        <v>44</v>
      </c>
    </row>
    <row r="39" spans="1:7">
      <c r="A39" s="2">
        <v>46176</v>
      </c>
      <c r="B39" s="1">
        <v>8000073565</v>
      </c>
      <c r="C39" s="3" t="s">
        <v>354</v>
      </c>
      <c r="D39" s="3" t="s">
        <v>62</v>
      </c>
      <c r="E39" s="1" t="s">
        <v>44</v>
      </c>
      <c r="F39" s="1" t="s">
        <v>44</v>
      </c>
      <c r="G39" s="1" t="s">
        <v>44</v>
      </c>
    </row>
    <row r="40" spans="1:7">
      <c r="A40" s="2">
        <v>46181</v>
      </c>
      <c r="B40" s="1">
        <v>8000073684</v>
      </c>
      <c r="C40" s="3" t="s">
        <v>403</v>
      </c>
      <c r="D40" s="3" t="s">
        <v>62</v>
      </c>
      <c r="E40" s="1" t="s">
        <v>44</v>
      </c>
      <c r="F40" s="1" t="s">
        <v>44</v>
      </c>
      <c r="G40" s="1" t="s">
        <v>44</v>
      </c>
    </row>
    <row r="41" spans="1:7">
      <c r="A41" s="2">
        <v>46183</v>
      </c>
      <c r="B41" s="1">
        <v>8000073767</v>
      </c>
      <c r="C41" s="3" t="s">
        <v>404</v>
      </c>
      <c r="D41" s="3" t="s">
        <v>75</v>
      </c>
      <c r="E41" s="1" t="s">
        <v>44</v>
      </c>
      <c r="F41" s="1" t="s">
        <v>44</v>
      </c>
      <c r="G41" s="1" t="s">
        <v>44</v>
      </c>
    </row>
  </sheetData>
  <conditionalFormatting sqref="A1:B1">
    <cfRule type="duplicateValues" dxfId="8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f0d5eb05-b81f-4648-b8cd-5913b3405064" xsi:nil="true"/>
    <TEMPO_x0028_semana_x0029_ xmlns="f0d5eb05-b81f-4648-b8cd-5913b3405064" xsi:nil="true"/>
    <lcf76f155ced4ddcb4097134ff3c332f xmlns="f0d5eb05-b81f-4648-b8cd-5913b3405064">
      <Terms xmlns="http://schemas.microsoft.com/office/infopath/2007/PartnerControls"/>
    </lcf76f155ced4ddcb4097134ff3c332f>
    <EXT_x002f_INT xmlns="f0d5eb05-b81f-4648-b8cd-5913b3405064">CR EXT</EXT_x002f_INT>
    <M_x00f3_dulo xmlns="f0d5eb05-b81f-4648-b8cd-5913b3405064" xsi:nil="true"/>
    <GP xmlns="f0d5eb05-b81f-4648-b8cd-5913b3405064">
      <UserInfo>
        <DisplayName/>
        <AccountId xsi:nil="true"/>
        <AccountType/>
      </UserInfo>
    </GP>
    <TaxCatchAll xmlns="83f7fd3f-d270-4723-b25e-5d8f83f7a036" xsi:nil="true"/>
    <_Flow_SignoffStatus xmlns="f0d5eb05-b81f-4648-b8cd-5913b340506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A4C067B19E674DAC13FA2BE4297CD2" ma:contentTypeVersion="21" ma:contentTypeDescription="Crie um novo documento." ma:contentTypeScope="" ma:versionID="72f7e9d9a7f91bbfdf6254272aac9571">
  <xsd:schema xmlns:xsd="http://www.w3.org/2001/XMLSchema" xmlns:xs="http://www.w3.org/2001/XMLSchema" xmlns:p="http://schemas.microsoft.com/office/2006/metadata/properties" xmlns:ns2="f0d5eb05-b81f-4648-b8cd-5913b3405064" xmlns:ns3="83f7fd3f-d270-4723-b25e-5d8f83f7a036" targetNamespace="http://schemas.microsoft.com/office/2006/metadata/properties" ma:root="true" ma:fieldsID="0a9f1a12d0b1af2005c0c877694566b6" ns2:_="" ns3:_="">
    <xsd:import namespace="f0d5eb05-b81f-4648-b8cd-5913b3405064"/>
    <xsd:import namespace="83f7fd3f-d270-4723-b25e-5d8f83f7a0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_Flow_SignoffStatus" minOccurs="0"/>
                <xsd:element ref="ns2:MediaServiceDateTaken" minOccurs="0"/>
                <xsd:element ref="ns2:MediaLengthInSeconds" minOccurs="0"/>
                <xsd:element ref="ns2:GP" minOccurs="0"/>
                <xsd:element ref="ns2:Status" minOccurs="0"/>
                <xsd:element ref="ns2:EXT_x002f_INT" minOccurs="0"/>
                <xsd:element ref="ns2:M_x00f3_dulo" minOccurs="0"/>
                <xsd:element ref="ns2:TEMPO_x0028_semana_x0029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5eb05-b81f-4648-b8cd-5913b34050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3a32ff00-356d-4097-996f-9b2f732007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0" nillable="true" ma:displayName="Status de liberação" ma:internalName="Status_x0020_de_x0020_libera_x00e7__x00e3_o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GP" ma:index="23" nillable="true" ma:displayName="GP" ma:description="Pessoa responsavel pelo gerenciamento desse projeto&#10;" ma:format="Dropdown" ma:list="UserInfo" ma:SharePointGroup="0" ma:internalName="GP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atus" ma:index="24" nillable="true" ma:displayName="Status" ma:format="Dropdown" ma:internalName="Status">
      <xsd:simpleType>
        <xsd:restriction base="dms:Choice">
          <xsd:enumeration value="1 - Ag.Apresentação"/>
          <xsd:enumeration value="2 - Apresentada"/>
          <xsd:enumeration value="3 - Aprovada"/>
          <xsd:enumeration value="4 - Rejeitada"/>
          <xsd:enumeration value="5 - Substituída"/>
        </xsd:restriction>
      </xsd:simpleType>
    </xsd:element>
    <xsd:element name="EXT_x002f_INT" ma:index="25" nillable="true" ma:displayName="EXT/INT" ma:default="CR EXT" ma:format="Dropdown" ma:internalName="EXT_x002f_INT">
      <xsd:simpleType>
        <xsd:restriction base="dms:Choice">
          <xsd:enumeration value="CR INT"/>
          <xsd:enumeration value="CR EXT"/>
        </xsd:restriction>
      </xsd:simpleType>
    </xsd:element>
    <xsd:element name="M_x00f3_dulo" ma:index="26" nillable="true" ma:displayName="Módulo" ma:format="Dropdown" ma:internalName="M_x00f3_dulo">
      <xsd:simpleType>
        <xsd:restriction base="dms:Choice">
          <xsd:enumeration value="ACM"/>
          <xsd:enumeration value="Gestão Logística"/>
          <xsd:enumeration value="SD"/>
        </xsd:restriction>
      </xsd:simpleType>
    </xsd:element>
    <xsd:element name="TEMPO_x0028_semana_x0029_" ma:index="27" nillable="true" ma:displayName="TEMPO (semana)" ma:format="Dropdown" ma:internalName="TEMPO_x0028_semana_x0029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7fd3f-d270-4723-b25e-5d8f83f7a03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fa82716-142e-4306-9d0b-183d04702279}" ma:internalName="TaxCatchAll" ma:showField="CatchAllData" ma:web="83f7fd3f-d270-4723-b25e-5d8f83f7a0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941A79-C6E7-49EF-ADA0-52B1A1CAE76A}"/>
</file>

<file path=customXml/itemProps2.xml><?xml version="1.0" encoding="utf-8"?>
<ds:datastoreItem xmlns:ds="http://schemas.openxmlformats.org/officeDocument/2006/customXml" ds:itemID="{669D0891-CD96-4471-8D80-A88F48D98FA5}"/>
</file>

<file path=customXml/itemProps3.xml><?xml version="1.0" encoding="utf-8"?>
<ds:datastoreItem xmlns:ds="http://schemas.openxmlformats.org/officeDocument/2006/customXml" ds:itemID="{E5AA08AB-1908-4DF5-A64E-A345E1DE03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 Zeni Simião</dc:creator>
  <cp:keywords/>
  <dc:description/>
  <cp:lastModifiedBy/>
  <cp:revision/>
  <dcterms:created xsi:type="dcterms:W3CDTF">2026-04-30T12:06:51Z</dcterms:created>
  <dcterms:modified xsi:type="dcterms:W3CDTF">2026-06-15T11:47:48Z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0x01010019A4C067B19E674DAC13FA2BE4297CD2</vt:lpwstr>
  </property>
  <property fmtid="{D5CDD505-2E9C-101B-9397-08002B2CF9AE}" pid="3" name="MediaServiceImageTags">
    <vt:lpwstr/>
  </property>
</Properties>
</file>